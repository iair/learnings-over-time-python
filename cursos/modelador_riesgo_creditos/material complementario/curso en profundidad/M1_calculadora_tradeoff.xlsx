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<sst xmlns="http://schemas.openxmlformats.org/spreadsheetml/2006/main" count="26" uniqueCount="26">
  <si>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M1 · Calculadora de trade-off: economía del error en admisión</t>
  </si>
  <si>
    <t xml:space="preserve">Celdas AMARILLAS = inputs editables (texto azul). Celdas blancas = fórmulas, no editar.</t>
  </si>
  <si>
    <t xml:space="preserve">Valores de ejemplo ilustrativos (crédito de consumo). Fuente: parámetros definidos por el usuario del curso.</t>
  </si>
  <si>
    <t xml:space="preserve">1 · PARÁMETROS DEL PRODUCTO</t>
  </si>
  <si>
    <t xml:space="preserve">Monto promedio del crédito (EAD aprox.) ($)</t>
  </si>
  <si>
    <t xml:space="preserve">Plazo (meses)</t>
  </si>
  <si>
    <t xml:space="preserve">Spread anual sobre fondeo (%)</t>
  </si>
  <si>
    <t xml:space="preserve">LGD - severidad dado default (%)</t>
  </si>
  <si>
    <t xml:space="preserve">Costo de originación por crédito ($)</t>
  </si>
  <si>
    <t xml:space="preserve">Margen por bueno (aprox: EAD × spread × plazo/12 × 0.55 factor saldo decreciente − costo orig.) ($)</t>
  </si>
  <si>
    <t xml:space="preserve">Pérdida por malo (EAD × LGD) ($)</t>
  </si>
  <si>
    <t xml:space="preserve">Nota: el factor 0.55 aproxima el saldo promedio de un crédito en cuotas; ajústelo a su producto.</t>
  </si>
  <si>
    <t xml:space="preserve">2 · PD DE INDIFERENCIA (break-even)</t>
  </si>
  <si>
    <t xml:space="preserve">PD* = Margen / (Margen + Pérdida por malo)</t>
  </si>
  <si>
    <t xml:space="preserve">Lectura: solicitantes con PD estimada bajo PD* generan valor esperado positivo.</t>
  </si>
  <si>
    <t xml:space="preserve">3 · TABLA DE ESTRATEGIA POR TRAMO DE SCORE (cutoff acumulado desde el mejor tramo)</t>
  </si>
  <si>
    <t xml:space="preserve">Tramo (decil de score, 1=mejor)</t>
  </si>
  <si>
    <t xml:space="preserve">% de la demanda</t>
  </si>
  <si>
    <t xml:space="preserve">Tasa de malos del tramo</t>
  </si>
  <si>
    <t xml:space="preserve">Aprobación acumulada</t>
  </si>
  <si>
    <t xml:space="preserve">Tasa de malos acumulada</t>
  </si>
  <si>
    <t xml:space="preserve">Utilidad del tramo ($ por 1.000 solicitudes)</t>
  </si>
  <si>
    <t xml:space="preserve">Utilidad acumulada ($)</t>
  </si>
  <si>
    <t xml:space="preserve">Cutoff sugerido (último decil con utilidad de tramo &gt; 0):</t>
  </si>
  <si>
    <t xml:space="preserve">Utilidad máxima acumulada ($ por 1.000 solicitudes):</t>
  </si>
  <si>
    <t xml:space="preserve">Ejercicio: suba la LGD a 85% y observe cómo el cutoff sugerido se endurece; baje el spread y lo mismo.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</si>
</sst>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%"/>
    <numFmt numFmtId="168" formatCode="#,##0;\(#,##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2B4C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B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n">
        <v>2000000</v>
      </c>
    </row>
    <row r="7" customFormat="false" ht="15" hidden="false" customHeight="false" outlineLevel="0" collapsed="false">
      <c r="A7" s="4" t="s">
        <v>5</v>
      </c>
      <c r="B7" s="6" t="n">
        <v>24</v>
      </c>
    </row>
    <row r="8" customFormat="false" ht="15" hidden="false" customHeight="false" outlineLevel="0" collapsed="false">
      <c r="A8" s="4" t="s">
        <v>6</v>
      </c>
      <c r="B8" s="7" t="n">
        <v>0.12</v>
      </c>
    </row>
    <row r="9" customFormat="false" ht="15" hidden="false" customHeight="false" outlineLevel="0" collapsed="false">
      <c r="A9" s="4" t="s">
        <v>7</v>
      </c>
      <c r="B9" s="7" t="n">
        <v>0.7</v>
      </c>
    </row>
    <row r="10" customFormat="false" ht="15" hidden="false" customHeight="false" outlineLevel="0" collapsed="false">
      <c r="A10" s="4" t="s">
        <v>8</v>
      </c>
      <c r="B10" s="5" t="n">
        <v>30000</v>
      </c>
    </row>
    <row r="12" customFormat="false" ht="15" hidden="false" customHeight="false" outlineLevel="0" collapsed="false">
      <c r="A12" s="4" t="s">
        <v>9</v>
      </c>
      <c r="B12" s="8" t="n">
        <f aca="false">B6*B8*(B7/12)*0.55-B10</f>
        <v>234000</v>
      </c>
    </row>
    <row r="13" customFormat="false" ht="15" hidden="false" customHeight="false" outlineLevel="0" collapsed="false">
      <c r="A13" s="4" t="s">
        <v>10</v>
      </c>
      <c r="B13" s="8" t="n">
        <f aca="false">B6*B9</f>
        <v>1400000</v>
      </c>
    </row>
    <row r="14" customFormat="false" ht="15" hidden="false" customHeight="false" outlineLevel="0" collapsed="false">
      <c r="A14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4" t="s">
        <v>13</v>
      </c>
      <c r="B17" s="9" t="n">
        <f aca="false">B12/(B12+B13)</f>
        <v>0.143206854345165</v>
      </c>
    </row>
    <row r="18" customFormat="false" ht="15" hidden="false" customHeight="false" outlineLevel="0" collapsed="false">
      <c r="A18" s="2" t="s">
        <v>14</v>
      </c>
    </row>
    <row r="20" customFormat="false" ht="15" hidden="false" customHeight="false" outlineLevel="0" collapsed="false">
      <c r="A20" s="3" t="s">
        <v>15</v>
      </c>
    </row>
    <row r="21" customFormat="false" ht="42" hidden="false" customHeight="true" outlineLevel="0" collapsed="false">
      <c r="A21" s="10" t="s">
        <v>16</v>
      </c>
      <c r="B21" s="10" t="s">
        <v>17</v>
      </c>
      <c r="C21" s="10" t="s">
        <v>18</v>
      </c>
      <c r="D21" s="10" t="s">
        <v>19</v>
      </c>
      <c r="E21" s="10" t="s">
        <v>20</v>
      </c>
      <c r="F21" s="10" t="s">
        <v>21</v>
      </c>
      <c r="G21" s="10" t="s">
        <v>22</v>
      </c>
    </row>
    <row r="22" customFormat="false" ht="15" hidden="false" customHeight="false" outlineLevel="0" collapsed="false">
      <c r="A22" s="11" t="n">
        <v>1</v>
      </c>
      <c r="B22" s="7" t="n">
        <v>0.1</v>
      </c>
      <c r="C22" s="7" t="n">
        <v>0.01</v>
      </c>
      <c r="D22" s="12" t="n">
        <f aca="false">SUM($B$22:B22)</f>
        <v>0.1</v>
      </c>
      <c r="E22" s="12" t="n">
        <f aca="false">SUMPRODUCT($B$22:B22,$C$22:C22)/SUM($B$22:B22)</f>
        <v>0.01</v>
      </c>
      <c r="F22" s="13" t="n">
        <f aca="false">1000*B22*((1-C22)*$B$12-C22*$B$13)</f>
        <v>21766000</v>
      </c>
      <c r="G22" s="13" t="n">
        <f aca="false">SUM($F$22:F22)</f>
        <v>21766000</v>
      </c>
    </row>
    <row r="23" customFormat="false" ht="15" hidden="false" customHeight="false" outlineLevel="0" collapsed="false">
      <c r="A23" s="11" t="n">
        <v>2</v>
      </c>
      <c r="B23" s="7" t="n">
        <v>0.1</v>
      </c>
      <c r="C23" s="7" t="n">
        <v>0.015</v>
      </c>
      <c r="D23" s="12" t="n">
        <f aca="false">SUM($B$22:B23)</f>
        <v>0.2</v>
      </c>
      <c r="E23" s="12" t="n">
        <f aca="false">SUMPRODUCT($B$22:B23,$C$22:C23)/SUM($B$22:B23)</f>
        <v>0.0125</v>
      </c>
      <c r="F23" s="13" t="n">
        <f aca="false">1000*B23*((1-C23)*$B$12-C23*$B$13)</f>
        <v>20949000</v>
      </c>
      <c r="G23" s="13" t="n">
        <f aca="false">SUM($F$22:F23)</f>
        <v>42715000</v>
      </c>
    </row>
    <row r="24" customFormat="false" ht="15" hidden="false" customHeight="false" outlineLevel="0" collapsed="false">
      <c r="A24" s="11" t="n">
        <v>3</v>
      </c>
      <c r="B24" s="7" t="n">
        <v>0.1</v>
      </c>
      <c r="C24" s="7" t="n">
        <v>0.022</v>
      </c>
      <c r="D24" s="12" t="n">
        <f aca="false">SUM($B$22:B24)</f>
        <v>0.3</v>
      </c>
      <c r="E24" s="12" t="n">
        <f aca="false">SUMPRODUCT($B$22:B24,$C$22:C24)/SUM($B$22:B24)</f>
        <v>0.0156666666666667</v>
      </c>
      <c r="F24" s="13" t="n">
        <f aca="false">1000*B24*((1-C24)*$B$12-C24*$B$13)</f>
        <v>19805200</v>
      </c>
      <c r="G24" s="13" t="n">
        <f aca="false">SUM($F$22:F24)</f>
        <v>62520200</v>
      </c>
    </row>
    <row r="25" customFormat="false" ht="15" hidden="false" customHeight="false" outlineLevel="0" collapsed="false">
      <c r="A25" s="11" t="n">
        <v>4</v>
      </c>
      <c r="B25" s="7" t="n">
        <v>0.1</v>
      </c>
      <c r="C25" s="7" t="n">
        <v>0.032</v>
      </c>
      <c r="D25" s="12" t="n">
        <f aca="false">SUM($B$22:B25)</f>
        <v>0.4</v>
      </c>
      <c r="E25" s="12" t="n">
        <f aca="false">SUMPRODUCT($B$22:B25,$C$22:C25)/SUM($B$22:B25)</f>
        <v>0.01975</v>
      </c>
      <c r="F25" s="13" t="n">
        <f aca="false">1000*B25*((1-C25)*$B$12-C25*$B$13)</f>
        <v>18171200</v>
      </c>
      <c r="G25" s="13" t="n">
        <f aca="false">SUM($F$22:F25)</f>
        <v>80691400</v>
      </c>
    </row>
    <row r="26" customFormat="false" ht="15" hidden="false" customHeight="false" outlineLevel="0" collapsed="false">
      <c r="A26" s="11" t="n">
        <v>5</v>
      </c>
      <c r="B26" s="7" t="n">
        <v>0.1</v>
      </c>
      <c r="C26" s="7" t="n">
        <v>0.045</v>
      </c>
      <c r="D26" s="12" t="n">
        <f aca="false">SUM($B$22:B26)</f>
        <v>0.5</v>
      </c>
      <c r="E26" s="12" t="n">
        <f aca="false">SUMPRODUCT($B$22:B26,$C$22:C26)/SUM($B$22:B26)</f>
        <v>0.0248</v>
      </c>
      <c r="F26" s="13" t="n">
        <f aca="false">1000*B26*((1-C26)*$B$12-C26*$B$13)</f>
        <v>16047000</v>
      </c>
      <c r="G26" s="13" t="n">
        <f aca="false">SUM($F$22:F26)</f>
        <v>96738400</v>
      </c>
    </row>
    <row r="27" customFormat="false" ht="15" hidden="false" customHeight="false" outlineLevel="0" collapsed="false">
      <c r="A27" s="11" t="n">
        <v>6</v>
      </c>
      <c r="B27" s="7" t="n">
        <v>0.1</v>
      </c>
      <c r="C27" s="7" t="n">
        <v>0.062</v>
      </c>
      <c r="D27" s="12" t="n">
        <f aca="false">SUM($B$22:B27)</f>
        <v>0.6</v>
      </c>
      <c r="E27" s="12" t="n">
        <f aca="false">SUMPRODUCT($B$22:B27,$C$22:C27)/SUM($B$22:B27)</f>
        <v>0.031</v>
      </c>
      <c r="F27" s="13" t="n">
        <f aca="false">1000*B27*((1-C27)*$B$12-C27*$B$13)</f>
        <v>13269200</v>
      </c>
      <c r="G27" s="13" t="n">
        <f aca="false">SUM($F$22:F27)</f>
        <v>110007600</v>
      </c>
    </row>
    <row r="28" customFormat="false" ht="15" hidden="false" customHeight="false" outlineLevel="0" collapsed="false">
      <c r="A28" s="11" t="n">
        <v>7</v>
      </c>
      <c r="B28" s="7" t="n">
        <v>0.1</v>
      </c>
      <c r="C28" s="7" t="n">
        <v>0.085</v>
      </c>
      <c r="D28" s="12" t="n">
        <f aca="false">SUM($B$22:B28)</f>
        <v>0.7</v>
      </c>
      <c r="E28" s="12" t="n">
        <f aca="false">SUMPRODUCT($B$22:B28,$C$22:C28)/SUM($B$22:B28)</f>
        <v>0.0387142857142857</v>
      </c>
      <c r="F28" s="13" t="n">
        <f aca="false">1000*B28*((1-C28)*$B$12-C28*$B$13)</f>
        <v>9511000</v>
      </c>
      <c r="G28" s="13" t="n">
        <f aca="false">SUM($F$22:F28)</f>
        <v>119518600</v>
      </c>
    </row>
    <row r="29" customFormat="false" ht="15" hidden="false" customHeight="false" outlineLevel="0" collapsed="false">
      <c r="A29" s="11" t="n">
        <v>8</v>
      </c>
      <c r="B29" s="7" t="n">
        <v>0.1</v>
      </c>
      <c r="C29" s="7" t="n">
        <v>0.115</v>
      </c>
      <c r="D29" s="12" t="n">
        <f aca="false">SUM($B$22:B29)</f>
        <v>0.8</v>
      </c>
      <c r="E29" s="12" t="n">
        <f aca="false">SUMPRODUCT($B$22:B29,$C$22:C29)/SUM($B$22:B29)</f>
        <v>0.04825</v>
      </c>
      <c r="F29" s="13" t="n">
        <f aca="false">1000*B29*((1-C29)*$B$12-C29*$B$13)</f>
        <v>4609000</v>
      </c>
      <c r="G29" s="13" t="n">
        <f aca="false">SUM($F$22:F29)</f>
        <v>124127600</v>
      </c>
    </row>
    <row r="30" customFormat="false" ht="15" hidden="false" customHeight="false" outlineLevel="0" collapsed="false">
      <c r="A30" s="11" t="n">
        <v>9</v>
      </c>
      <c r="B30" s="7" t="n">
        <v>0.1</v>
      </c>
      <c r="C30" s="7" t="n">
        <v>0.16</v>
      </c>
      <c r="D30" s="12" t="n">
        <f aca="false">SUM($B$22:B30)</f>
        <v>0.9</v>
      </c>
      <c r="E30" s="12" t="n">
        <f aca="false">SUMPRODUCT($B$22:B30,$C$22:C30)/SUM($B$22:B30)</f>
        <v>0.0606666666666667</v>
      </c>
      <c r="F30" s="13" t="n">
        <f aca="false">1000*B30*((1-C30)*$B$12-C30*$B$13)</f>
        <v>-2744000</v>
      </c>
      <c r="G30" s="13" t="n">
        <f aca="false">SUM($F$22:F30)</f>
        <v>121383600</v>
      </c>
    </row>
    <row r="31" customFormat="false" ht="15" hidden="false" customHeight="false" outlineLevel="0" collapsed="false">
      <c r="A31" s="11" t="n">
        <v>10</v>
      </c>
      <c r="B31" s="7" t="n">
        <v>0.1</v>
      </c>
      <c r="C31" s="7" t="n">
        <v>0.23</v>
      </c>
      <c r="D31" s="12" t="n">
        <f aca="false">SUM($B$22:B31)</f>
        <v>1</v>
      </c>
      <c r="E31" s="12" t="n">
        <f aca="false">SUMPRODUCT($B$22:B31,$C$22:C31)/SUM($B$22:B31)</f>
        <v>0.0776</v>
      </c>
      <c r="F31" s="13" t="n">
        <f aca="false">1000*B31*((1-C31)*$B$12-C31*$B$13)</f>
        <v>-14182000</v>
      </c>
      <c r="G31" s="13" t="n">
        <f aca="false">SUM($F$22:F31)</f>
        <v>107201600</v>
      </c>
    </row>
    <row r="33" customFormat="false" ht="15" hidden="false" customHeight="false" outlineLevel="0" collapsed="false">
      <c r="A33" s="14" t="s">
        <v>23</v>
      </c>
      <c r="B33" s="15" t="n">
        <f aca="false">SUMPRODUCT((F22:F31&gt;0)*1)</f>
        <v>8</v>
      </c>
    </row>
    <row r="34" customFormat="false" ht="15" hidden="false" customHeight="false" outlineLevel="0" collapsed="false">
      <c r="A34" s="14" t="s">
        <v>24</v>
      </c>
      <c r="B34" s="8" t="n">
        <f aca="false">MAX(G22:G31)</f>
        <v>124127600</v>
      </c>
    </row>
    <row r="36" customFormat="false" ht="15" hidden="false" customHeight="false" outlineLevel="0" collapsed="false">
      <c r="A36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2026-08-29T19:00:13Z</dcterms:created>
  <dc:creator>openpyxl</dc:creator>
  <dc:description/>
  <dc:language>en-US</dc:language>
  <cp:lastModifiedBy/>
  <dcterms:modified xsi:type="dcterms:W3CDTF">2026-08-29T19:00:13Z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