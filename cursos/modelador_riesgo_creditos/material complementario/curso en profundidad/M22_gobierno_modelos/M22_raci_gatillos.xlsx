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RACI" sheetId="2" state="visible" r:id="rId2"/>
    <sheet xmlns:r="http://schemas.openxmlformats.org/officeDocument/2006/relationships" name="Gatillos" sheetId="3" state="visible" r:id="rId3"/>
    <sheet xmlns:r="http://schemas.openxmlformats.org/officeDocument/2006/relationships" name="Tiering" sheetId="4" state="visible" r:id="rId4"/>
    <sheet xmlns:r="http://schemas.openxmlformats.org/officeDocument/2006/relationships" name="Fatiga_alar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yyyy-mm-dd"/>
    <numFmt numFmtId="166" formatCode="0.0%"/>
    <numFmt numFmtId="167" formatCode="0.0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EEEEEE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pivotButton="0" quotePrefix="0" xfId="0"/>
    <xf numFmtId="0" fontId="0" fillId="3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0"/>
    <xf numFmtId="164" fontId="0" fillId="3" borderId="0" pivotButton="0" quotePrefix="0" xfId="0"/>
    <xf numFmtId="165" fontId="0" fillId="3" borderId="0" pivotButton="0" quotePrefix="0" xfId="0"/>
    <xf numFmtId="166" fontId="0" fillId="0" borderId="0" pivotButton="0" quotePrefix="0" xfId="0"/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" fontId="0" fillId="0" borderId="0" pivotButton="0" quotePrefix="0" xfId="0"/>
    <xf numFmtId="0" fontId="0" fillId="3" borderId="0" pivotButton="0" quotePrefix="0" xfId="0"/>
    <xf numFmtId="0" fontId="2" fillId="2" borderId="1" pivotButton="0" quotePrefix="0" xfId="0"/>
    <xf numFmtId="0" fontId="2" fillId="2" borderId="0" pivotButton="0" quotePrefix="0" xfId="0"/>
    <xf numFmtId="167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M22 · RACI, gatillos, tiering y fatiga de alarmas</t>
        </is>
      </c>
    </row>
    <row r="2">
      <c r="A2" s="2" t="inlineStr">
        <is>
          <t>Serie 2 · Del embudo al gobierno. Acompaña a M22_gobierno_modelos.md y al notebook M22_gobierno_modelos.py.</t>
        </is>
      </c>
    </row>
    <row r="3">
      <c r="A3" s="2" t="inlineStr"/>
    </row>
    <row r="4">
      <c r="A4" s="3" t="inlineStr">
        <is>
          <t>Qué es</t>
        </is>
      </c>
    </row>
    <row r="5">
      <c r="A5" s="2" t="inlineStr">
        <is>
          <t>Cuatro hojas de gobierno con fórmulas vivas. Las celdas con relleno amarillo son editables; todo lo demás se calcula.</t>
        </is>
      </c>
    </row>
    <row r="6">
      <c r="A6" s="2" t="inlineStr"/>
    </row>
    <row r="7">
      <c r="A7" s="3" t="inlineStr">
        <is>
          <t>Hojas</t>
        </is>
      </c>
    </row>
    <row r="8">
      <c r="A8" s="2" t="inlineStr">
        <is>
          <t>RACI — actividades × roles (Modelador, Jefe de Modelos, Validación, TI, Comité, Auditoría interna). Valores admitidos: R, A, R/A, C, I o vacío.</t>
        </is>
      </c>
    </row>
    <row r="9">
      <c r="A9" s="2" t="inlineStr">
        <is>
          <t xml:space="preserve">   Chequeos: exactamente una A por fila (COUNTIF de «A» + «R/A»); al menos una R; y, en filas marcadas «Sí» en «Requiere independencia», el Modelador no puede tener R, A ni R/A.</t>
        </is>
      </c>
    </row>
    <row r="10">
      <c r="A10" s="2" t="inlineStr">
        <is>
          <t xml:space="preserve">   Prueba: escriba «R» en Modelador × «Validar independientemente» o agregue una segunda «A» en cualquier fila y mire la columna Estado y el contador de filas a revisar.</t>
        </is>
      </c>
    </row>
    <row r="11">
      <c r="A11" s="2" t="inlineStr">
        <is>
          <t>Gatillos — las cinco partes de la clase 6 (condición medible · valor de hoy · quién decide · acción · plazo) + jerarquía. «Disparado» se CALCULA: SÍ / no / no evaluable (celda de valor vacía).</t>
        </is>
      </c>
    </row>
    <row r="12">
      <c r="A12" s="2" t="inlineStr">
        <is>
          <t xml:space="preserve">   Valores de hoy precargados con la corrida de Banco Austral de la clase 6 (nikodym 1.11.0): Gini DEV 0,7831 · HO 0,6949 · OOT 0,6938; KS OOT 0,5616; PSI score DEV→OOT 0,0081; HL OOT p &lt; 0,001; 0 casos a revisión en TTD.</t>
        </is>
      </c>
    </row>
    <row r="13">
      <c r="A13" s="2" t="inlineStr">
        <is>
          <t>Tiering — materialidad × uso × complejidad → puntaje → tier → frecuencia de validación. Es una CONVENCIÓN de este módulo (ninguna norma prescribe estos números); los mismos valores están en M22_inventario_modelos.csv y en el notebook (sección 11).</t>
        </is>
      </c>
    </row>
    <row r="14">
      <c r="A14" s="2" t="inlineStr">
        <is>
          <t>Fatiga_alarmas — probabilidad de al menos una falsa alarma con k indicadores independientes al nivel α, por mes y por año. Muestra por qué la jerarquía de gatillos empieza en «vigilancia reforzada» y no en «re-desarrollo».</t>
        </is>
      </c>
    </row>
    <row r="15">
      <c r="A15" s="2" t="inlineStr"/>
    </row>
    <row r="16">
      <c r="A16" s="3" t="inlineStr">
        <is>
          <t>Supuestos y límites</t>
        </is>
      </c>
    </row>
    <row r="17">
      <c r="A17" s="2" t="inlineStr">
        <is>
          <t>• Los umbrales de gatillos son los del curso (PSI 0,10/0,25; caída relativa de Gini 30%; KS 0,20; binomial/HL p 0,05/0,01). Son convenciones de industria, no resultados teóricos.</t>
        </is>
      </c>
    </row>
    <row r="18">
      <c r="A18" s="2" t="inlineStr">
        <is>
          <t>• «Plazo» se cuenta en días corridos (fecha límite = fecha de detección + plazo). Ajuste si su política usa días hábiles.</t>
        </is>
      </c>
    </row>
    <row r="19">
      <c r="A19" s="2" t="inlineStr">
        <is>
          <t>• La hoja Fatiga_alarmas supone indicadores independientes; con indicadores correlacionados (PSI del score y CSI de sus variables, p. ej.) la probabilidad real es menor que la calculada.</t>
        </is>
      </c>
    </row>
    <row r="20">
      <c r="A20" s="2" t="inlineStr">
        <is>
          <t>• Solo funciones disponibles en Excel y Google Sheets (COUNTIF, IF, AND, OR, INDEX/MATCH, SUMPRODUCT). Sin macros.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4" customWidth="1" min="2" max="2"/>
    <col width="11" customWidth="1" min="3" max="3"/>
    <col width="11" customWidth="1" min="4" max="4"/>
    <col width="11" customWidth="1" min="5" max="5"/>
    <col width="9" customWidth="1" min="6" max="6"/>
    <col width="12" customWidth="1" min="7" max="7"/>
    <col width="12" customWidth="1" min="8" max="8"/>
    <col width="9" customWidth="1" min="9" max="9"/>
    <col width="9" customWidth="1" min="10" max="10"/>
    <col width="14" customWidth="1" min="11" max="11"/>
    <col width="34" customWidth="1" min="12" max="12"/>
    <col width="9" customWidth="1" min="13" max="13"/>
  </cols>
  <sheetData>
    <row r="1">
      <c r="A1" s="4" t="inlineStr">
        <is>
          <t>Matriz RACI editable — R ejecuta · A responde (una sola por fila) · C consultado · I informado</t>
        </is>
      </c>
    </row>
    <row r="2">
      <c r="A2" t="inlineStr">
        <is>
          <t>Quien construye NO valida y NO aprueba (clase 6, lámina 8). Filas 1–8: las del curso; 9–14: extensiones de este módulo.</t>
        </is>
      </c>
    </row>
    <row r="4">
      <c r="A4" s="5" t="inlineStr">
        <is>
          <t>Actividad</t>
        </is>
      </c>
      <c r="B4" s="5" t="inlineStr">
        <is>
          <t>Requiere independencia</t>
        </is>
      </c>
      <c r="C4" s="5" t="inlineStr">
        <is>
          <t>Modelador</t>
        </is>
      </c>
      <c r="D4" s="5" t="inlineStr">
        <is>
          <t>Jefe de Modelos</t>
        </is>
      </c>
      <c r="E4" s="5" t="inlineStr">
        <is>
          <t>Validación</t>
        </is>
      </c>
      <c r="F4" s="5" t="inlineStr">
        <is>
          <t>TI</t>
        </is>
      </c>
      <c r="G4" s="5" t="inlineStr">
        <is>
          <t>Comité de Riesgo</t>
        </is>
      </c>
      <c r="H4" s="5" t="inlineStr">
        <is>
          <t>Auditoría interna</t>
        </is>
      </c>
      <c r="I4" s="5" t="inlineStr">
        <is>
          <t>n.º de A</t>
        </is>
      </c>
      <c r="J4" s="5" t="inlineStr">
        <is>
          <t>n.º de R</t>
        </is>
      </c>
      <c r="K4" s="5" t="inlineStr">
        <is>
          <t>Chequeo A única</t>
        </is>
      </c>
      <c r="L4" s="5" t="inlineStr">
        <is>
          <t>Chequeo independencia</t>
        </is>
      </c>
      <c r="M4" s="5" t="inlineStr">
        <is>
          <t>Estado</t>
        </is>
      </c>
    </row>
    <row r="5">
      <c r="A5" s="6" t="inlineStr">
        <is>
          <t>Construir el modelo</t>
        </is>
      </c>
      <c r="B5" s="7" t="inlineStr">
        <is>
          <t>No</t>
        </is>
      </c>
      <c r="C5" s="8" t="inlineStr">
        <is>
          <t>R</t>
        </is>
      </c>
      <c r="D5" s="8" t="inlineStr">
        <is>
          <t>A</t>
        </is>
      </c>
      <c r="E5" s="8" t="inlineStr">
        <is>
          <t>C</t>
        </is>
      </c>
      <c r="F5" s="8" t="inlineStr">
        <is>
          <t>I</t>
        </is>
      </c>
      <c r="G5" s="8" t="inlineStr">
        <is>
          <t>I</t>
        </is>
      </c>
      <c r="H5" s="8" t="inlineStr">
        <is>
          <t>I</t>
        </is>
      </c>
      <c r="I5" s="9">
        <f>COUNTIF(C5:H5,"A")+COUNTIF(C5:H5,"R/A")</f>
        <v/>
      </c>
      <c r="J5" s="9">
        <f>COUNTIF(C5:H5,"R")+COUNTIF(C5:H5,"R/A")</f>
        <v/>
      </c>
      <c r="K5" s="9">
        <f>IF(I5=1,"OK","ERROR: "&amp;I5&amp;" A")</f>
        <v/>
      </c>
      <c r="L5" s="9">
        <f>IF(B5="Sí",IF(OR(C5="R",C5="A",C5="R/A"),"VIOLA: el modelador ejecuta o aprueba","OK"),"no aplica")</f>
        <v/>
      </c>
      <c r="M5" s="9">
        <f>IF(AND(K5="OK",L5&lt;&gt;"VIOLA: el modelador ejecuta o aprueba",J5&gt;=1),"✓","revisar")</f>
        <v/>
      </c>
    </row>
    <row r="6">
      <c r="A6" s="6" t="inlineStr">
        <is>
          <t>Validar independientemente</t>
        </is>
      </c>
      <c r="B6" s="7" t="inlineStr">
        <is>
          <t>Sí</t>
        </is>
      </c>
      <c r="C6" s="8" t="inlineStr">
        <is>
          <t>I</t>
        </is>
      </c>
      <c r="D6" s="8" t="inlineStr">
        <is>
          <t>I</t>
        </is>
      </c>
      <c r="E6" s="8" t="inlineStr">
        <is>
          <t>R/A</t>
        </is>
      </c>
      <c r="F6" s="8" t="inlineStr">
        <is>
          <t>C</t>
        </is>
      </c>
      <c r="G6" s="8" t="inlineStr">
        <is>
          <t>I</t>
        </is>
      </c>
      <c r="H6" s="8" t="inlineStr">
        <is>
          <t>I</t>
        </is>
      </c>
      <c r="I6" s="9">
        <f>COUNTIF(C6:H6,"A")+COUNTIF(C6:H6,"R/A")</f>
        <v/>
      </c>
      <c r="J6" s="9">
        <f>COUNTIF(C6:H6,"R")+COUNTIF(C6:H6,"R/A")</f>
        <v/>
      </c>
      <c r="K6" s="9">
        <f>IF(I6=1,"OK","ERROR: "&amp;I6&amp;" A")</f>
        <v/>
      </c>
      <c r="L6" s="9">
        <f>IF(B6="Sí",IF(OR(C6="R",C6="A",C6="R/A"),"VIOLA: el modelador ejecuta o aprueba","OK"),"no aplica")</f>
        <v/>
      </c>
      <c r="M6" s="9">
        <f>IF(AND(K6="OK",L6&lt;&gt;"VIOLA: el modelador ejecuta o aprueba",J6&gt;=1),"✓","revisar")</f>
        <v/>
      </c>
    </row>
    <row r="7">
      <c r="A7" s="6" t="inlineStr">
        <is>
          <t>Aprobar el uso en producción</t>
        </is>
      </c>
      <c r="B7" s="7" t="inlineStr">
        <is>
          <t>Sí</t>
        </is>
      </c>
      <c r="C7" s="8" t="inlineStr">
        <is>
          <t>I</t>
        </is>
      </c>
      <c r="D7" s="8" t="inlineStr">
        <is>
          <t>C</t>
        </is>
      </c>
      <c r="E7" s="8" t="inlineStr">
        <is>
          <t>C</t>
        </is>
      </c>
      <c r="F7" s="8" t="inlineStr">
        <is>
          <t>I</t>
        </is>
      </c>
      <c r="G7" s="8" t="inlineStr">
        <is>
          <t>R/A</t>
        </is>
      </c>
      <c r="H7" s="8" t="inlineStr">
        <is>
          <t>I</t>
        </is>
      </c>
      <c r="I7" s="9">
        <f>COUNTIF(C7:H7,"A")+COUNTIF(C7:H7,"R/A")</f>
        <v/>
      </c>
      <c r="J7" s="9">
        <f>COUNTIF(C7:H7,"R")+COUNTIF(C7:H7,"R/A")</f>
        <v/>
      </c>
      <c r="K7" s="9">
        <f>IF(I7=1,"OK","ERROR: "&amp;I7&amp;" A")</f>
        <v/>
      </c>
      <c r="L7" s="9">
        <f>IF(B7="Sí",IF(OR(C7="R",C7="A",C7="R/A"),"VIOLA: el modelador ejecuta o aprueba","OK"),"no aplica")</f>
        <v/>
      </c>
      <c r="M7" s="9">
        <f>IF(AND(K7="OK",L7&lt;&gt;"VIOLA: el modelador ejecuta o aprueba",J7&gt;=1),"✓","revisar")</f>
        <v/>
      </c>
    </row>
    <row r="8">
      <c r="A8" s="6" t="inlineStr">
        <is>
          <t>Desplegar y operar el scoring</t>
        </is>
      </c>
      <c r="B8" s="7" t="inlineStr">
        <is>
          <t>No</t>
        </is>
      </c>
      <c r="C8" s="8" t="inlineStr">
        <is>
          <t>C</t>
        </is>
      </c>
      <c r="D8" s="8" t="inlineStr">
        <is>
          <t>I</t>
        </is>
      </c>
      <c r="E8" s="8" t="inlineStr">
        <is>
          <t>I</t>
        </is>
      </c>
      <c r="F8" s="8" t="inlineStr">
        <is>
          <t>R/A</t>
        </is>
      </c>
      <c r="G8" s="8" t="inlineStr">
        <is>
          <t>I</t>
        </is>
      </c>
      <c r="H8" s="8" t="inlineStr">
        <is>
          <t>I</t>
        </is>
      </c>
      <c r="I8" s="9">
        <f>COUNTIF(C8:H8,"A")+COUNTIF(C8:H8,"R/A")</f>
        <v/>
      </c>
      <c r="J8" s="9">
        <f>COUNTIF(C8:H8,"R")+COUNTIF(C8:H8,"R/A")</f>
        <v/>
      </c>
      <c r="K8" s="9">
        <f>IF(I8=1,"OK","ERROR: "&amp;I8&amp;" A")</f>
        <v/>
      </c>
      <c r="L8" s="9">
        <f>IF(B8="Sí",IF(OR(C8="R",C8="A",C8="R/A"),"VIOLA: el modelador ejecuta o aprueba","OK"),"no aplica")</f>
        <v/>
      </c>
      <c r="M8" s="9">
        <f>IF(AND(K8="OK",L8&lt;&gt;"VIOLA: el modelador ejecuta o aprueba",J8&gt;=1),"✓","revisar")</f>
        <v/>
      </c>
    </row>
    <row r="9">
      <c r="A9" s="6" t="inlineStr">
        <is>
          <t>Monitorear el tablero mensual</t>
        </is>
      </c>
      <c r="B9" s="7" t="inlineStr">
        <is>
          <t>No</t>
        </is>
      </c>
      <c r="C9" s="8" t="inlineStr">
        <is>
          <t>R</t>
        </is>
      </c>
      <c r="D9" s="8" t="inlineStr">
        <is>
          <t>A</t>
        </is>
      </c>
      <c r="E9" s="8" t="inlineStr">
        <is>
          <t>C</t>
        </is>
      </c>
      <c r="F9" s="8" t="inlineStr">
        <is>
          <t>C</t>
        </is>
      </c>
      <c r="G9" s="8" t="inlineStr">
        <is>
          <t>I</t>
        </is>
      </c>
      <c r="H9" s="8" t="inlineStr">
        <is>
          <t>I</t>
        </is>
      </c>
      <c r="I9" s="9">
        <f>COUNTIF(C9:H9,"A")+COUNTIF(C9:H9,"R/A")</f>
        <v/>
      </c>
      <c r="J9" s="9">
        <f>COUNTIF(C9:H9,"R")+COUNTIF(C9:H9,"R/A")</f>
        <v/>
      </c>
      <c r="K9" s="9">
        <f>IF(I9=1,"OK","ERROR: "&amp;I9&amp;" A")</f>
        <v/>
      </c>
      <c r="L9" s="9">
        <f>IF(B9="Sí",IF(OR(C9="R",C9="A",C9="R/A"),"VIOLA: el modelador ejecuta o aprueba","OK"),"no aplica")</f>
        <v/>
      </c>
      <c r="M9" s="9">
        <f>IF(AND(K9="OK",L9&lt;&gt;"VIOLA: el modelador ejecuta o aprueba",J9&gt;=1),"✓","revisar")</f>
        <v/>
      </c>
    </row>
    <row r="10">
      <c r="A10" s="6" t="inlineStr">
        <is>
          <t>Decidir recalibrar o re-desarrollar</t>
        </is>
      </c>
      <c r="B10" s="7" t="inlineStr">
        <is>
          <t>Sí</t>
        </is>
      </c>
      <c r="C10" s="8" t="inlineStr">
        <is>
          <t>C</t>
        </is>
      </c>
      <c r="D10" s="8" t="inlineStr">
        <is>
          <t>R</t>
        </is>
      </c>
      <c r="E10" s="8" t="inlineStr">
        <is>
          <t>C</t>
        </is>
      </c>
      <c r="F10" s="8" t="inlineStr">
        <is>
          <t>I</t>
        </is>
      </c>
      <c r="G10" s="8" t="inlineStr">
        <is>
          <t>A</t>
        </is>
      </c>
      <c r="H10" s="8" t="inlineStr">
        <is>
          <t>I</t>
        </is>
      </c>
      <c r="I10" s="9">
        <f>COUNTIF(C10:H10,"A")+COUNTIF(C10:H10,"R/A")</f>
        <v/>
      </c>
      <c r="J10" s="9">
        <f>COUNTIF(C10:H10,"R")+COUNTIF(C10:H10,"R/A")</f>
        <v/>
      </c>
      <c r="K10" s="9">
        <f>IF(I10=1,"OK","ERROR: "&amp;I10&amp;" A")</f>
        <v/>
      </c>
      <c r="L10" s="9">
        <f>IF(B10="Sí",IF(OR(C10="R",C10="A",C10="R/A"),"VIOLA: el modelador ejecuta o aprueba","OK"),"no aplica")</f>
        <v/>
      </c>
      <c r="M10" s="9">
        <f>IF(AND(K10="OK",L10&lt;&gt;"VIOLA: el modelador ejecuta o aprueba",J10&gt;=1),"✓","revisar")</f>
        <v/>
      </c>
    </row>
    <row r="11">
      <c r="A11" s="6" t="inlineStr">
        <is>
          <t>Autorizar excepciones al cutoff</t>
        </is>
      </c>
      <c r="B11" s="7" t="inlineStr">
        <is>
          <t>Sí</t>
        </is>
      </c>
      <c r="C11" s="8" t="inlineStr">
        <is>
          <t>I</t>
        </is>
      </c>
      <c r="D11" s="8" t="inlineStr">
        <is>
          <t>C</t>
        </is>
      </c>
      <c r="E11" s="8" t="inlineStr">
        <is>
          <t>I</t>
        </is>
      </c>
      <c r="F11" s="8" t="inlineStr">
        <is>
          <t>I</t>
        </is>
      </c>
      <c r="G11" s="8" t="inlineStr">
        <is>
          <t>R/A</t>
        </is>
      </c>
      <c r="H11" s="8" t="inlineStr">
        <is>
          <t>I</t>
        </is>
      </c>
      <c r="I11" s="9">
        <f>COUNTIF(C11:H11,"A")+COUNTIF(C11:H11,"R/A")</f>
        <v/>
      </c>
      <c r="J11" s="9">
        <f>COUNTIF(C11:H11,"R")+COUNTIF(C11:H11,"R/A")</f>
        <v/>
      </c>
      <c r="K11" s="9">
        <f>IF(I11=1,"OK","ERROR: "&amp;I11&amp;" A")</f>
        <v/>
      </c>
      <c r="L11" s="9">
        <f>IF(B11="Sí",IF(OR(C11="R",C11="A",C11="R/A"),"VIOLA: el modelador ejecuta o aprueba","OK"),"no aplica")</f>
        <v/>
      </c>
      <c r="M11" s="9">
        <f>IF(AND(K11="OK",L11&lt;&gt;"VIOLA: el modelador ejecuta o aprueba",J11&gt;=1),"✓","revisar")</f>
        <v/>
      </c>
    </row>
    <row r="12">
      <c r="A12" s="6" t="inlineStr">
        <is>
          <t>Archivar el expediente del modelo</t>
        </is>
      </c>
      <c r="B12" s="7" t="inlineStr">
        <is>
          <t>No</t>
        </is>
      </c>
      <c r="C12" s="8" t="inlineStr">
        <is>
          <t>R</t>
        </is>
      </c>
      <c r="D12" s="8" t="inlineStr">
        <is>
          <t>A</t>
        </is>
      </c>
      <c r="E12" s="8" t="inlineStr">
        <is>
          <t>C</t>
        </is>
      </c>
      <c r="F12" s="8" t="inlineStr">
        <is>
          <t>I</t>
        </is>
      </c>
      <c r="G12" s="8" t="inlineStr">
        <is>
          <t>I</t>
        </is>
      </c>
      <c r="H12" s="8" t="inlineStr">
        <is>
          <t>I</t>
        </is>
      </c>
      <c r="I12" s="9">
        <f>COUNTIF(C12:H12,"A")+COUNTIF(C12:H12,"R/A")</f>
        <v/>
      </c>
      <c r="J12" s="9">
        <f>COUNTIF(C12:H12,"R")+COUNTIF(C12:H12,"R/A")</f>
        <v/>
      </c>
      <c r="K12" s="9">
        <f>IF(I12=1,"OK","ERROR: "&amp;I12&amp;" A")</f>
        <v/>
      </c>
      <c r="L12" s="9">
        <f>IF(B12="Sí",IF(OR(C12="R",C12="A",C12="R/A"),"VIOLA: el modelador ejecuta o aprueba","OK"),"no aplica")</f>
        <v/>
      </c>
      <c r="M12" s="9">
        <f>IF(AND(K12="OK",L12&lt;&gt;"VIOLA: el modelador ejecuta o aprueba",J12&gt;=1),"✓","revisar")</f>
        <v/>
      </c>
    </row>
    <row r="13">
      <c r="A13" s="6" t="inlineStr">
        <is>
          <t>Registrar y mantener el inventario de modelos</t>
        </is>
      </c>
      <c r="B13" s="7" t="inlineStr">
        <is>
          <t>No</t>
        </is>
      </c>
      <c r="C13" s="8" t="inlineStr">
        <is>
          <t>C</t>
        </is>
      </c>
      <c r="D13" s="8" t="inlineStr">
        <is>
          <t>R</t>
        </is>
      </c>
      <c r="E13" s="8" t="inlineStr">
        <is>
          <t>A</t>
        </is>
      </c>
      <c r="F13" s="8" t="inlineStr">
        <is>
          <t>I</t>
        </is>
      </c>
      <c r="G13" s="8" t="inlineStr">
        <is>
          <t>I</t>
        </is>
      </c>
      <c r="H13" s="8" t="inlineStr">
        <is>
          <t>I</t>
        </is>
      </c>
      <c r="I13" s="9">
        <f>COUNTIF(C13:H13,"A")+COUNTIF(C13:H13,"R/A")</f>
        <v/>
      </c>
      <c r="J13" s="9">
        <f>COUNTIF(C13:H13,"R")+COUNTIF(C13:H13,"R/A")</f>
        <v/>
      </c>
      <c r="K13" s="9">
        <f>IF(I13=1,"OK","ERROR: "&amp;I13&amp;" A")</f>
        <v/>
      </c>
      <c r="L13" s="9">
        <f>IF(B13="Sí",IF(OR(C13="R",C13="A",C13="R/A"),"VIOLA: el modelador ejecuta o aprueba","OK"),"no aplica")</f>
        <v/>
      </c>
      <c r="M13" s="9">
        <f>IF(AND(K13="OK",L13&lt;&gt;"VIOLA: el modelador ejecuta o aprueba",J13&gt;=1),"✓","revisar")</f>
        <v/>
      </c>
    </row>
    <row r="14">
      <c r="A14" s="6" t="inlineStr">
        <is>
          <t>Asignar tier y frecuencia de validación</t>
        </is>
      </c>
      <c r="B14" s="7" t="inlineStr">
        <is>
          <t>Sí</t>
        </is>
      </c>
      <c r="C14" s="8" t="inlineStr">
        <is>
          <t>I</t>
        </is>
      </c>
      <c r="D14" s="8" t="inlineStr">
        <is>
          <t>C</t>
        </is>
      </c>
      <c r="E14" s="8" t="inlineStr">
        <is>
          <t>R</t>
        </is>
      </c>
      <c r="F14" s="8" t="inlineStr">
        <is>
          <t>I</t>
        </is>
      </c>
      <c r="G14" s="8" t="inlineStr">
        <is>
          <t>A</t>
        </is>
      </c>
      <c r="H14" s="8" t="inlineStr">
        <is>
          <t>I</t>
        </is>
      </c>
      <c r="I14" s="9">
        <f>COUNTIF(C14:H14,"A")+COUNTIF(C14:H14,"R/A")</f>
        <v/>
      </c>
      <c r="J14" s="9">
        <f>COUNTIF(C14:H14,"R")+COUNTIF(C14:H14,"R/A")</f>
        <v/>
      </c>
      <c r="K14" s="9">
        <f>IF(I14=1,"OK","ERROR: "&amp;I14&amp;" A")</f>
        <v/>
      </c>
      <c r="L14" s="9">
        <f>IF(B14="Sí",IF(OR(C14="R",C14="A",C14="R/A"),"VIOLA: el modelador ejecuta o aprueba","OK"),"no aplica")</f>
        <v/>
      </c>
      <c r="M14" s="9">
        <f>IF(AND(K14="OK",L14&lt;&gt;"VIOLA: el modelador ejecuta o aprueba",J14&gt;=1),"✓","revisar")</f>
        <v/>
      </c>
    </row>
    <row r="15">
      <c r="A15" s="6" t="inlineStr">
        <is>
          <t>Registrar overrides con motivo codificado</t>
        </is>
      </c>
      <c r="B15" s="7" t="inlineStr">
        <is>
          <t>No</t>
        </is>
      </c>
      <c r="C15" s="8" t="inlineStr">
        <is>
          <t>I</t>
        </is>
      </c>
      <c r="D15" s="8" t="inlineStr">
        <is>
          <t>A</t>
        </is>
      </c>
      <c r="E15" s="8" t="inlineStr">
        <is>
          <t>I</t>
        </is>
      </c>
      <c r="F15" s="8" t="inlineStr">
        <is>
          <t>R</t>
        </is>
      </c>
      <c r="G15" s="8" t="inlineStr">
        <is>
          <t>I</t>
        </is>
      </c>
      <c r="H15" s="8" t="inlineStr">
        <is>
          <t>I</t>
        </is>
      </c>
      <c r="I15" s="9">
        <f>COUNTIF(C15:H15,"A")+COUNTIF(C15:H15,"R/A")</f>
        <v/>
      </c>
      <c r="J15" s="9">
        <f>COUNTIF(C15:H15,"R")+COUNTIF(C15:H15,"R/A")</f>
        <v/>
      </c>
      <c r="K15" s="9">
        <f>IF(I15=1,"OK","ERROR: "&amp;I15&amp;" A")</f>
        <v/>
      </c>
      <c r="L15" s="9">
        <f>IF(B15="Sí",IF(OR(C15="R",C15="A",C15="R/A"),"VIOLA: el modelador ejecuta o aprueba","OK"),"no aplica")</f>
        <v/>
      </c>
      <c r="M15" s="9">
        <f>IF(AND(K15="OK",L15&lt;&gt;"VIOLA: el modelador ejecuta o aprueba",J15&gt;=1),"✓","revisar")</f>
        <v/>
      </c>
    </row>
    <row r="16">
      <c r="A16" s="6" t="inlineStr">
        <is>
          <t>Revisar desempeño de overrides y su límite</t>
        </is>
      </c>
      <c r="B16" s="7" t="inlineStr">
        <is>
          <t>Sí</t>
        </is>
      </c>
      <c r="C16" s="8" t="inlineStr">
        <is>
          <t>C</t>
        </is>
      </c>
      <c r="D16" s="8" t="inlineStr">
        <is>
          <t>R</t>
        </is>
      </c>
      <c r="E16" s="8" t="inlineStr">
        <is>
          <t>C</t>
        </is>
      </c>
      <c r="F16" s="8" t="inlineStr">
        <is>
          <t>I</t>
        </is>
      </c>
      <c r="G16" s="8" t="inlineStr">
        <is>
          <t>A</t>
        </is>
      </c>
      <c r="H16" s="8" t="inlineStr">
        <is>
          <t>I</t>
        </is>
      </c>
      <c r="I16" s="9">
        <f>COUNTIF(C16:H16,"A")+COUNTIF(C16:H16,"R/A")</f>
        <v/>
      </c>
      <c r="J16" s="9">
        <f>COUNTIF(C16:H16,"R")+COUNTIF(C16:H16,"R/A")</f>
        <v/>
      </c>
      <c r="K16" s="9">
        <f>IF(I16=1,"OK","ERROR: "&amp;I16&amp;" A")</f>
        <v/>
      </c>
      <c r="L16" s="9">
        <f>IF(B16="Sí",IF(OR(C16="R",C16="A",C16="R/A"),"VIOLA: el modelador ejecuta o aprueba","OK"),"no aplica")</f>
        <v/>
      </c>
      <c r="M16" s="9">
        <f>IF(AND(K16="OK",L16&lt;&gt;"VIOLA: el modelador ejecuta o aprueba",J16&gt;=1),"✓","revisar")</f>
        <v/>
      </c>
    </row>
    <row r="17">
      <c r="A17" s="6" t="inlineStr">
        <is>
          <t>Validar la herramienta o librería (pin de versión)</t>
        </is>
      </c>
      <c r="B17" s="7" t="inlineStr">
        <is>
          <t>Sí</t>
        </is>
      </c>
      <c r="C17" s="8" t="inlineStr">
        <is>
          <t>C</t>
        </is>
      </c>
      <c r="D17" s="8" t="inlineStr">
        <is>
          <t>I</t>
        </is>
      </c>
      <c r="E17" s="8" t="inlineStr">
        <is>
          <t>R/A</t>
        </is>
      </c>
      <c r="F17" s="8" t="inlineStr">
        <is>
          <t>C</t>
        </is>
      </c>
      <c r="G17" s="8" t="inlineStr">
        <is>
          <t>I</t>
        </is>
      </c>
      <c r="H17" s="8" t="inlineStr">
        <is>
          <t>I</t>
        </is>
      </c>
      <c r="I17" s="9">
        <f>COUNTIF(C17:H17,"A")+COUNTIF(C17:H17,"R/A")</f>
        <v/>
      </c>
      <c r="J17" s="9">
        <f>COUNTIF(C17:H17,"R")+COUNTIF(C17:H17,"R/A")</f>
        <v/>
      </c>
      <c r="K17" s="9">
        <f>IF(I17=1,"OK","ERROR: "&amp;I17&amp;" A")</f>
        <v/>
      </c>
      <c r="L17" s="9">
        <f>IF(B17="Sí",IF(OR(C17="R",C17="A",C17="R/A"),"VIOLA: el modelador ejecuta o aprueba","OK"),"no aplica")</f>
        <v/>
      </c>
      <c r="M17" s="9">
        <f>IF(AND(K17="OK",L17&lt;&gt;"VIOLA: el modelador ejecuta o aprueba",J17&gt;=1),"✓","revisar")</f>
        <v/>
      </c>
    </row>
    <row r="18">
      <c r="A18" s="6" t="inlineStr">
        <is>
          <t>Auditar el proceso de gestión de riesgo de modelos</t>
        </is>
      </c>
      <c r="B18" s="7" t="inlineStr">
        <is>
          <t>Sí</t>
        </is>
      </c>
      <c r="C18" s="8" t="inlineStr">
        <is>
          <t>I</t>
        </is>
      </c>
      <c r="D18" s="8" t="inlineStr">
        <is>
          <t>I</t>
        </is>
      </c>
      <c r="E18" s="8" t="inlineStr">
        <is>
          <t>C</t>
        </is>
      </c>
      <c r="F18" s="8" t="inlineStr">
        <is>
          <t>I</t>
        </is>
      </c>
      <c r="G18" s="8" t="inlineStr">
        <is>
          <t>I</t>
        </is>
      </c>
      <c r="H18" s="8" t="inlineStr">
        <is>
          <t>R/A</t>
        </is>
      </c>
      <c r="I18" s="9">
        <f>COUNTIF(C18:H18,"A")+COUNTIF(C18:H18,"R/A")</f>
        <v/>
      </c>
      <c r="J18" s="9">
        <f>COUNTIF(C18:H18,"R")+COUNTIF(C18:H18,"R/A")</f>
        <v/>
      </c>
      <c r="K18" s="9">
        <f>IF(I18=1,"OK","ERROR: "&amp;I18&amp;" A")</f>
        <v/>
      </c>
      <c r="L18" s="9">
        <f>IF(B18="Sí",IF(OR(C18="R",C18="A",C18="R/A"),"VIOLA: el modelador ejecuta o aprueba","OK"),"no aplica")</f>
        <v/>
      </c>
      <c r="M18" s="9">
        <f>IF(AND(K18="OK",L18&lt;&gt;"VIOLA: el modelador ejecuta o aprueba",J18&gt;=1),"✓","revisar")</f>
        <v/>
      </c>
    </row>
    <row r="20">
      <c r="A20" s="10" t="inlineStr">
        <is>
          <t>Filas a revisar</t>
        </is>
      </c>
      <c r="B20">
        <f>COUNTIF(M5:M18,"revisar")</f>
        <v/>
      </c>
    </row>
    <row r="21">
      <c r="A21" s="10" t="inlineStr">
        <is>
          <t>Actividades donde el Modelador es R o A</t>
        </is>
      </c>
      <c r="B21">
        <f>COUNTIF(C5:C18,"R")+COUNTIF(C5:C18,"A")+COUNTIF(C5:C18,"R/A")</f>
        <v/>
      </c>
    </row>
    <row r="22">
      <c r="A22" s="10" t="inlineStr">
        <is>
          <t>Actividades donde Validación es A (incluye R/A)</t>
        </is>
      </c>
      <c r="B22">
        <f>COUNTIF(E5:E18,"A")+COUNTIF(E5:E18,"R/A")</f>
        <v/>
      </c>
    </row>
    <row r="23">
      <c r="A23" s="10" t="inlineStr">
        <is>
          <t>Actividades donde el Comité es A (incluye R/A)</t>
        </is>
      </c>
      <c r="B23">
        <f>COUNTIF(G5:G18,"A")+COUNTIF(G5:G18,"R/A")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38" customWidth="1" min="3" max="3"/>
    <col width="9" customWidth="1" min="4" max="4"/>
    <col width="9" customWidth="1" min="5" max="5"/>
    <col width="11" customWidth="1" min="6" max="6"/>
    <col width="13" customWidth="1" min="7" max="7"/>
    <col width="26" customWidth="1" min="8" max="8"/>
    <col width="44" customWidth="1" min="9" max="9"/>
    <col width="10" customWidth="1" min="10" max="10"/>
    <col width="12" customWidth="1" min="11" max="11"/>
    <col width="36" customWidth="1" min="12" max="12"/>
  </cols>
  <sheetData>
    <row r="1">
      <c r="A1" s="4" t="inlineStr">
        <is>
          <t>Tabla de gatillos — cinco partes: condición medible · valor de hoy · quién decide · acción · plazo</t>
        </is>
      </c>
    </row>
    <row r="2">
      <c r="A2" t="inlineStr">
        <is>
          <t>El umbral se escribe ANTES de mirar el dato. «Disparado» se calcula; celda de valor vacía = «no evaluable» (no es lo mismo que «no»).</t>
        </is>
      </c>
    </row>
    <row r="4">
      <c r="A4" s="10" t="inlineStr">
        <is>
          <t>Insumos de la corrida (Banco Austral, clase 6)</t>
        </is>
      </c>
    </row>
    <row r="5">
      <c r="A5" t="inlineStr">
        <is>
          <t>Gini DEV</t>
        </is>
      </c>
      <c r="B5" s="11" t="n">
        <v>0.7831</v>
      </c>
    </row>
    <row r="6">
      <c r="A6" t="inlineStr">
        <is>
          <t>Gini HO</t>
        </is>
      </c>
      <c r="B6" s="11" t="n">
        <v>0.6949</v>
      </c>
    </row>
    <row r="7">
      <c r="A7" t="inlineStr">
        <is>
          <t>Gini OOT</t>
        </is>
      </c>
      <c r="B7" s="11" t="n">
        <v>0.6938</v>
      </c>
    </row>
    <row r="8">
      <c r="A8" t="inlineStr">
        <is>
          <t>KS OOT</t>
        </is>
      </c>
      <c r="B8" s="11" t="n">
        <v>0.5616</v>
      </c>
    </row>
    <row r="9">
      <c r="A9" t="inlineStr">
        <is>
          <t>PSI score DEV→OOT</t>
        </is>
      </c>
      <c r="B9" s="11" t="n">
        <v>0.0081</v>
      </c>
    </row>
    <row r="10">
      <c r="A10" t="inlineStr">
        <is>
          <t>p Hosmer-Lemeshow OOT (reportado &lt; 0,001)</t>
        </is>
      </c>
      <c r="B10" s="11" t="n">
        <v>0</v>
      </c>
    </row>
    <row r="11">
      <c r="A11" t="inlineStr">
        <is>
          <t>Fecha de detección</t>
        </is>
      </c>
      <c r="B11" s="12" t="n">
        <v>46281</v>
      </c>
    </row>
    <row r="12">
      <c r="A12" t="inlineStr">
        <is>
          <t>Caída relativa de Gini DEV→OOT</t>
        </is>
      </c>
      <c r="B12" s="13">
        <f>1-B7/B5</f>
        <v/>
      </c>
    </row>
    <row r="13">
      <c r="A13" t="inlineStr">
        <is>
          <t>Caída relativa de Gini DEV→HO</t>
        </is>
      </c>
      <c r="B13" s="13">
        <f>1-B6/B5</f>
        <v/>
      </c>
    </row>
    <row r="15">
      <c r="A15" s="5" t="inlineStr">
        <is>
          <t>Nivel</t>
        </is>
      </c>
      <c r="B15" s="5" t="inlineStr">
        <is>
          <t>Gatillo</t>
        </is>
      </c>
      <c r="C15" s="5" t="inlineStr">
        <is>
          <t>Condición (indicador)</t>
        </is>
      </c>
      <c r="D15" s="5" t="inlineStr">
        <is>
          <t>Operador</t>
        </is>
      </c>
      <c r="E15" s="5" t="inlineStr">
        <is>
          <t>Umbral</t>
        </is>
      </c>
      <c r="F15" s="5" t="inlineStr">
        <is>
          <t>Valor de hoy</t>
        </is>
      </c>
      <c r="G15" s="5" t="inlineStr">
        <is>
          <t>Disparado</t>
        </is>
      </c>
      <c r="H15" s="5" t="inlineStr">
        <is>
          <t>Quién decide</t>
        </is>
      </c>
      <c r="I15" s="5" t="inlineStr">
        <is>
          <t>Acción</t>
        </is>
      </c>
      <c r="J15" s="5" t="inlineStr">
        <is>
          <t>Plazo (días)</t>
        </is>
      </c>
      <c r="K15" s="5" t="inlineStr">
        <is>
          <t>Fecha límite</t>
        </is>
      </c>
      <c r="L15" s="5" t="inlineStr">
        <is>
          <t>Fuente del valor</t>
        </is>
      </c>
    </row>
    <row r="16">
      <c r="A16" s="6" t="n">
        <v>1</v>
      </c>
      <c r="B16" s="6" t="inlineStr">
        <is>
          <t>Vigilancia reforzada</t>
        </is>
      </c>
      <c r="C16" s="6" t="inlineStr">
        <is>
          <t>n.º de indicadores del tablero en 🟡 o 🔴</t>
        </is>
      </c>
      <c r="D16" s="14" t="inlineStr">
        <is>
          <t>&gt;</t>
        </is>
      </c>
      <c r="E16" s="15" t="n">
        <v>0</v>
      </c>
      <c r="F16" s="15" t="n">
        <v>5</v>
      </c>
      <c r="G16" s="6">
        <f>IF(F16="","no evaluable",IF(OR(AND(D16="&gt;",F16&gt;E16),AND(D16="&gt;=",F16&gt;=E16),AND(D16="&lt;",F16&lt;E16),AND(D16="&lt;=",F16&lt;=E16)),"SÍ","no"))</f>
        <v/>
      </c>
      <c r="H16" s="14" t="inlineStr">
        <is>
          <t>Jefe de Modelos</t>
        </is>
      </c>
      <c r="I16" s="6" t="inlineStr">
        <is>
          <t>Duplicar frecuencia de medición por 2 meses; diagnóstico por tramos</t>
        </is>
      </c>
      <c r="J16" s="14" t="n">
        <v>30</v>
      </c>
      <c r="K16" s="16">
        <f>IF(G16="SÍ",$B$11+J16,"—")</f>
        <v/>
      </c>
      <c r="L16" s="6" t="inlineStr">
        <is>
          <t>Tablero clase 5: 4 🟢 · 5 🟡 · 0 🔴</t>
        </is>
      </c>
    </row>
    <row r="17">
      <c r="A17" s="6" t="n">
        <v>2</v>
      </c>
      <c r="B17" s="6" t="inlineStr">
        <is>
          <t>Diagnóstico de calibración</t>
        </is>
      </c>
      <c r="C17" s="6" t="inlineStr">
        <is>
          <t>p Hosmer-Lemeshow OOT</t>
        </is>
      </c>
      <c r="D17" s="14" t="inlineStr">
        <is>
          <t>&lt;</t>
        </is>
      </c>
      <c r="E17" s="15" t="n">
        <v>0.01</v>
      </c>
      <c r="F17" s="15">
        <f>B10</f>
        <v/>
      </c>
      <c r="G17" s="6">
        <f>IF(F17="","no evaluable",IF(OR(AND(D17="&gt;",F17&gt;E17),AND(D17="&gt;=",F17&gt;=E17),AND(D17="&lt;",F17&lt;E17),AND(D17="&lt;=",F17&lt;=E17)),"SÍ","no"))</f>
        <v/>
      </c>
      <c r="H17" s="14" t="inlineStr">
        <is>
          <t>Jefe de Modelos</t>
        </is>
      </c>
      <c r="I17" s="6" t="inlineStr">
        <is>
          <t>Diagnóstico por tramos antes de decidir δ; no pasar a producción sin él</t>
        </is>
      </c>
      <c r="J17" s="14" t="n">
        <v>30</v>
      </c>
      <c r="K17" s="16">
        <f>IF(G17="SÍ",$B$11+J17,"—")</f>
        <v/>
      </c>
      <c r="L17" s="6" t="inlineStr">
        <is>
          <t>nikodym: HL OOT 49,33, p &lt; 0,001</t>
        </is>
      </c>
    </row>
    <row r="18">
      <c r="A18" s="6" t="n">
        <v>2</v>
      </c>
      <c r="B18" s="6" t="inlineStr">
        <is>
          <t>Recalibración del δ</t>
        </is>
      </c>
      <c r="C18" s="6" t="inlineStr">
        <is>
          <t>trimestres consecutivos con binomial global 🟡/🔴</t>
        </is>
      </c>
      <c r="D18" s="14" t="inlineStr">
        <is>
          <t>&gt;=</t>
        </is>
      </c>
      <c r="E18" s="15" t="n">
        <v>2</v>
      </c>
      <c r="F18" s="15" t="n"/>
      <c r="G18" s="6">
        <f>IF(F18="","no evaluable",IF(OR(AND(D18="&gt;",F18&gt;E18),AND(D18="&gt;=",F18&gt;=E18),AND(D18="&lt;",F18&lt;E18),AND(D18="&lt;=",F18&lt;=E18)),"SÍ","no"))</f>
        <v/>
      </c>
      <c r="H18" s="14" t="inlineStr">
        <is>
          <t>Comité de Riesgo (propone Jefe de Modelos)</t>
        </is>
      </c>
      <c r="I18" s="6" t="inlineStr">
        <is>
          <t>Re-anclar δ a la TC actualizada, con acta</t>
        </is>
      </c>
      <c r="J18" s="14" t="n">
        <v>60</v>
      </c>
      <c r="K18" s="16">
        <f>IF(G18="SÍ",$B$11+J18,"—")</f>
        <v/>
      </c>
      <c r="L18" s="6" t="inlineStr">
        <is>
          <t>Solo hay un trimestre de OOT: no evaluable</t>
        </is>
      </c>
    </row>
    <row r="19">
      <c r="A19" s="6" t="n">
        <v>3</v>
      </c>
      <c r="B19" s="6" t="inlineStr">
        <is>
          <t>Re-desarrollo (rama Gini)</t>
        </is>
      </c>
      <c r="C19" s="6" t="inlineStr">
        <is>
          <t>caída relativa de Gini DEV→OOT</t>
        </is>
      </c>
      <c r="D19" s="14" t="inlineStr">
        <is>
          <t>&gt;</t>
        </is>
      </c>
      <c r="E19" s="15" t="n">
        <v>0.3</v>
      </c>
      <c r="F19" s="15">
        <f>B12</f>
        <v/>
      </c>
      <c r="G19" s="6">
        <f>IF(F19="","no evaluable",IF(OR(AND(D19="&gt;",F19&gt;E19),AND(D19="&gt;=",F19&gt;=E19),AND(D19="&lt;",F19&lt;E19),AND(D19="&lt;=",F19&lt;=E19)),"SÍ","no"))</f>
        <v/>
      </c>
      <c r="H19" s="14" t="inlineStr">
        <is>
          <t>Comité de Riesgo</t>
        </is>
      </c>
      <c r="I19" s="6" t="inlineStr">
        <is>
          <t>Abrir proyecto de re-desarrollo</t>
        </is>
      </c>
      <c r="J19" s="14" t="n">
        <v>90</v>
      </c>
      <c r="K19" s="16">
        <f>IF(G19="SÍ",$B$11+J19,"—")</f>
        <v/>
      </c>
      <c r="L19" s="6" t="inlineStr">
        <is>
          <t>Calculado de los insumos</t>
        </is>
      </c>
    </row>
    <row r="20">
      <c r="A20" s="6" t="n">
        <v>3</v>
      </c>
      <c r="B20" s="6" t="inlineStr">
        <is>
          <t>Re-desarrollo (rama KS)</t>
        </is>
      </c>
      <c r="C20" s="6" t="inlineStr">
        <is>
          <t>KS OOT</t>
        </is>
      </c>
      <c r="D20" s="14" t="inlineStr">
        <is>
          <t>&lt;</t>
        </is>
      </c>
      <c r="E20" s="15" t="n">
        <v>0.2</v>
      </c>
      <c r="F20" s="15">
        <f>B8</f>
        <v/>
      </c>
      <c r="G20" s="6">
        <f>IF(F20="","no evaluable",IF(OR(AND(D20="&gt;",F20&gt;E20),AND(D20="&gt;=",F20&gt;=E20),AND(D20="&lt;",F20&lt;E20),AND(D20="&lt;=",F20&lt;=E20)),"SÍ","no"))</f>
        <v/>
      </c>
      <c r="H20" s="14" t="inlineStr">
        <is>
          <t>Comité de Riesgo</t>
        </is>
      </c>
      <c r="I20" s="6" t="inlineStr">
        <is>
          <t>Abrir proyecto de re-desarrollo</t>
        </is>
      </c>
      <c r="J20" s="14" t="n">
        <v>90</v>
      </c>
      <c r="K20" s="16">
        <f>IF(G20="SÍ",$B$11+J20,"—")</f>
        <v/>
      </c>
      <c r="L20" s="6" t="inlineStr">
        <is>
          <t>nikodym</t>
        </is>
      </c>
    </row>
    <row r="21">
      <c r="A21" s="6" t="n">
        <v>3</v>
      </c>
      <c r="B21" s="6" t="inlineStr">
        <is>
          <t>Re-desarrollo (rama PSI)</t>
        </is>
      </c>
      <c r="C21" s="6" t="inlineStr">
        <is>
          <t>PSI del score</t>
        </is>
      </c>
      <c r="D21" s="14" t="inlineStr">
        <is>
          <t>&gt;</t>
        </is>
      </c>
      <c r="E21" s="15" t="n">
        <v>0.25</v>
      </c>
      <c r="F21" s="15">
        <f>B9</f>
        <v/>
      </c>
      <c r="G21" s="6">
        <f>IF(F21="","no evaluable",IF(OR(AND(D21="&gt;",F21&gt;E21),AND(D21="&gt;=",F21&gt;=E21),AND(D21="&lt;",F21&lt;E21),AND(D21="&lt;=",F21&lt;=E21)),"SÍ","no"))</f>
        <v/>
      </c>
      <c r="H21" s="14" t="inlineStr">
        <is>
          <t>Comité de Riesgo</t>
        </is>
      </c>
      <c r="I21" s="6" t="inlineStr">
        <is>
          <t>Abrir proyecto de re-desarrollo</t>
        </is>
      </c>
      <c r="J21" s="14" t="n">
        <v>90</v>
      </c>
      <c r="K21" s="16">
        <f>IF(G21="SÍ",$B$11+J21,"—")</f>
        <v/>
      </c>
      <c r="L21" s="6" t="inlineStr">
        <is>
          <t>nikodym</t>
        </is>
      </c>
    </row>
    <row r="22">
      <c r="A22" s="6" t="n">
        <v>4</v>
      </c>
      <c r="B22" s="6" t="inlineStr">
        <is>
          <t>Contingencia</t>
        </is>
      </c>
      <c r="C22" s="6" t="inlineStr">
        <is>
          <t>% del lote con hallazgo 🔴 del contrato de datos</t>
        </is>
      </c>
      <c r="D22" s="14" t="inlineStr">
        <is>
          <t>&gt;</t>
        </is>
      </c>
      <c r="E22" s="15" t="n">
        <v>0</v>
      </c>
      <c r="F22" s="15" t="n">
        <v>0</v>
      </c>
      <c r="G22" s="6">
        <f>IF(F22="","no evaluable",IF(OR(AND(D22="&gt;",F22&gt;E22),AND(D22="&gt;=",F22&gt;=E22),AND(D22="&lt;",F22&lt;E22),AND(D22="&lt;=",F22&lt;=E22)),"SÍ","no"))</f>
        <v/>
      </c>
      <c r="H22" s="14" t="inlineStr">
        <is>
          <t>TI / Producción</t>
        </is>
      </c>
      <c r="I22" s="6" t="inlineStr">
        <is>
          <t>Política de knock-outs de respaldo + aviso inmediato al comité</t>
        </is>
      </c>
      <c r="J22" s="14" t="n">
        <v>1</v>
      </c>
      <c r="K22" s="16">
        <f>IF(G22="SÍ",$B$11+J22,"—")</f>
        <v/>
      </c>
      <c r="L22" s="6" t="inlineStr">
        <is>
          <t>Corrida de producción clase 6: 0 bloqueantes</t>
        </is>
      </c>
    </row>
    <row r="23">
      <c r="A23" s="6" t="n">
        <v>2</v>
      </c>
      <c r="B23" s="6" t="inlineStr">
        <is>
          <t>Overrides</t>
        </is>
      </c>
      <c r="C23" s="6" t="inlineStr">
        <is>
          <t>tasa de overrides sobre aprobados</t>
        </is>
      </c>
      <c r="D23" s="14" t="inlineStr">
        <is>
          <t>&gt;</t>
        </is>
      </c>
      <c r="E23" s="15" t="n">
        <v>0.05</v>
      </c>
      <c r="F23" s="15" t="n"/>
      <c r="G23" s="6">
        <f>IF(F23="","no evaluable",IF(OR(AND(D23="&gt;",F23&gt;E23),AND(D23="&gt;=",F23&gt;=E23),AND(D23="&lt;",F23&lt;E23),AND(D23="&lt;=",F23&lt;=E23)),"SÍ","no"))</f>
        <v/>
      </c>
      <c r="H23" s="14" t="inlineStr">
        <is>
          <t>Comité de Riesgo</t>
        </is>
      </c>
      <c r="I23" s="6" t="inlineStr">
        <is>
          <t>Revisar política de excepciones y concentración por emisor</t>
        </is>
      </c>
      <c r="J23" s="14" t="n">
        <v>30</v>
      </c>
      <c r="K23" s="16">
        <f>IF(G23="SÍ",$B$11+J23,"—")</f>
        <v/>
      </c>
      <c r="L23" s="6" t="inlineStr">
        <is>
          <t>Sin registro de overrides: no evaluable</t>
        </is>
      </c>
    </row>
    <row r="24">
      <c r="A24" s="6" t="n">
        <v>1</v>
      </c>
      <c r="B24" s="6" t="inlineStr">
        <is>
          <t>Casos a revisión manual</t>
        </is>
      </c>
      <c r="C24" s="6" t="inlineStr">
        <is>
          <t>% del lote con bins no vistos en DEV</t>
        </is>
      </c>
      <c r="D24" s="14" t="inlineStr">
        <is>
          <t>&gt;</t>
        </is>
      </c>
      <c r="E24" s="15" t="n">
        <v>0.01</v>
      </c>
      <c r="F24" s="15" t="n">
        <v>0</v>
      </c>
      <c r="G24" s="6">
        <f>IF(F24="","no evaluable",IF(OR(AND(D24="&gt;",F24&gt;E24),AND(D24="&gt;=",F24&gt;=E24),AND(D24="&lt;",F24&lt;E24),AND(D24="&lt;=",F24&lt;=E24)),"SÍ","no"))</f>
        <v/>
      </c>
      <c r="H24" s="14" t="inlineStr">
        <is>
          <t>Jefe de Modelos</t>
        </is>
      </c>
      <c r="I24" s="6" t="inlineStr">
        <is>
          <t>Investigar el feed y el contrato de datos</t>
        </is>
      </c>
      <c r="J24" s="14" t="n">
        <v>7</v>
      </c>
      <c r="K24" s="16">
        <f>IF(G24="SÍ",$B$11+J24,"—")</f>
        <v/>
      </c>
      <c r="L24" s="6" t="inlineStr">
        <is>
          <t>Corrida TTD clase 6: 0 casos a revisión</t>
        </is>
      </c>
    </row>
    <row r="26">
      <c r="A26" s="10" t="inlineStr">
        <is>
          <t>Resumen</t>
        </is>
      </c>
    </row>
    <row r="27">
      <c r="A27" t="inlineStr">
        <is>
          <t>Disparados (SÍ)</t>
        </is>
      </c>
      <c r="B27">
        <f>COUNTIF(G16:G24,"SÍ")</f>
        <v/>
      </c>
    </row>
    <row r="28">
      <c r="A28" t="inlineStr">
        <is>
          <t>No disparados</t>
        </is>
      </c>
      <c r="B28">
        <f>COUNTIF(G16:G24,"no")</f>
        <v/>
      </c>
    </row>
    <row r="29">
      <c r="A29" t="inlineStr">
        <is>
          <t>No evaluables (falta insumo)</t>
        </is>
      </c>
      <c r="B29">
        <f>COUNTIF(G16:G24,"no evaluable")</f>
        <v/>
      </c>
    </row>
    <row r="30">
      <c r="A30" t="inlineStr">
        <is>
          <t>Re-desarrollo (alguna rama SÍ)</t>
        </is>
      </c>
      <c r="B30">
        <f>IF(COUNTIFS(B16:B24,"Re-desarrollo*",G16:G24,"SÍ")&gt;0,"SÍ","no")</f>
        <v/>
      </c>
    </row>
    <row r="31">
      <c r="A31" t="inlineStr">
        <is>
          <t>Nivel más alto disparado (1 vigilancia … 4 contingencia)</t>
        </is>
      </c>
      <c r="B31">
        <f>SUMPRODUCT(MAX((G16:G24="SÍ")*A16:A24))</f>
        <v/>
      </c>
    </row>
    <row r="32">
      <c r="A32" t="inlineStr">
        <is>
          <t>Responsables distintos (separación de roles: ≥ 2)</t>
        </is>
      </c>
      <c r="B32" s="17">
        <f>SUMPRODUCT(1/COUNTIF(H16:H24,H16:H24))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0" customWidth="1" min="3" max="3"/>
    <col width="16" customWidth="1" min="4" max="4"/>
    <col width="13" customWidth="1" min="5" max="5"/>
    <col width="10" customWidth="1" min="6" max="6"/>
    <col width="7" customWidth="1" min="7" max="7"/>
    <col width="36" customWidth="1" min="8" max="8"/>
  </cols>
  <sheetData>
    <row r="1">
      <c r="A1" s="4" t="inlineStr">
        <is>
          <t>Tiering por materialidad — convención de este módulo (ninguna norma prescribe estos números)</t>
        </is>
      </c>
    </row>
    <row r="3">
      <c r="A3" t="inlineStr">
        <is>
          <t>Umbral exposición 1 (MM$): bajo esto, materialidad 1</t>
        </is>
      </c>
      <c r="B3" s="18" t="n">
        <v>1000</v>
      </c>
    </row>
    <row r="4">
      <c r="A4" t="inlineStr">
        <is>
          <t>Umbral exposición 2 (MM$): sobre esto, materialidad 3</t>
        </is>
      </c>
      <c r="B4" s="18" t="n">
        <v>10000</v>
      </c>
    </row>
    <row r="5">
      <c r="A5" t="inlineStr">
        <is>
          <t>Peso materialidad</t>
        </is>
      </c>
      <c r="B5" s="18" t="n">
        <v>0.4</v>
      </c>
    </row>
    <row r="6">
      <c r="A6" t="inlineStr">
        <is>
          <t>Peso uso</t>
        </is>
      </c>
      <c r="B6" s="18" t="n">
        <v>0.3</v>
      </c>
    </row>
    <row r="7">
      <c r="A7" t="inlineStr">
        <is>
          <t>Peso complejidad</t>
        </is>
      </c>
      <c r="B7" s="18" t="n">
        <v>0.3</v>
      </c>
    </row>
    <row r="8">
      <c r="A8" t="inlineStr">
        <is>
          <t>Puntaje mínimo tier 1</t>
        </is>
      </c>
      <c r="B8" s="18" t="n">
        <v>2.4</v>
      </c>
    </row>
    <row r="9">
      <c r="A9" t="inlineStr">
        <is>
          <t>Puntaje mínimo tier 2</t>
        </is>
      </c>
      <c r="B9" s="18" t="n">
        <v>1.7</v>
      </c>
    </row>
    <row r="10">
      <c r="A10" t="inlineStr">
        <is>
          <t>Uso: 1 informativo · 2 apoya decisión humana · 3 decide en automático o es regulatorio. Complejidad: 1 regla/tabla · 2 estadístico interpretable · 3 ML, no lineal o caja negra de proveedor.</t>
        </is>
      </c>
    </row>
    <row r="11">
      <c r="A11" s="10" t="inlineStr">
        <is>
          <t>Frecuencia de validación completa por tier</t>
        </is>
      </c>
    </row>
    <row r="12">
      <c r="A12" t="n">
        <v>1</v>
      </c>
      <c r="B12" s="18" t="inlineStr">
        <is>
          <t>anual + monitoreo mensual</t>
        </is>
      </c>
    </row>
    <row r="13">
      <c r="A13" t="n">
        <v>2</v>
      </c>
      <c r="B13" s="18" t="inlineStr">
        <is>
          <t>cada 2 años + monitoreo trimestral</t>
        </is>
      </c>
    </row>
    <row r="14">
      <c r="A14" t="n">
        <v>3</v>
      </c>
      <c r="B14" s="18" t="inlineStr">
        <is>
          <t>ante cambios o cada 3 años</t>
        </is>
      </c>
    </row>
    <row r="17">
      <c r="A17" s="19" t="inlineStr">
        <is>
          <t>modelo_id</t>
        </is>
      </c>
      <c r="B17" s="19" t="inlineStr">
        <is>
          <t>Exposición (MM$)</t>
        </is>
      </c>
      <c r="C17" s="19" t="inlineStr">
        <is>
          <t>Uso (1-3)</t>
        </is>
      </c>
      <c r="D17" s="19" t="inlineStr">
        <is>
          <t>Complejidad (1-3)</t>
        </is>
      </c>
      <c r="E17" s="19" t="inlineStr">
        <is>
          <t>Materialidad</t>
        </is>
      </c>
      <c r="F17" s="19" t="inlineStr">
        <is>
          <t>Puntaje</t>
        </is>
      </c>
      <c r="G17" s="19" t="inlineStr">
        <is>
          <t>Tier</t>
        </is>
      </c>
      <c r="H17" s="19" t="inlineStr">
        <is>
          <t>Frecuencia de validación</t>
        </is>
      </c>
    </row>
    <row r="18">
      <c r="A18" s="9" t="inlineStr">
        <is>
          <t>austral-scorecard-consumo</t>
        </is>
      </c>
      <c r="B18" s="7" t="n">
        <v>180000</v>
      </c>
      <c r="C18" s="7" t="n">
        <v>3</v>
      </c>
      <c r="D18" s="7" t="n">
        <v>2</v>
      </c>
      <c r="E18" s="9">
        <f>IF(B18&lt;$B$3,1,IF(B18&lt;=$B$4,2,3))</f>
        <v/>
      </c>
      <c r="F18" s="9">
        <f>ROUND($B$5*E18+$B$6*C18+$B$7*D18,4)</f>
        <v/>
      </c>
      <c r="G18" s="9">
        <f>IF(F18&gt;=$B$8,1,IF(F18&gt;=$B$9,2,3))</f>
        <v/>
      </c>
      <c r="H18" s="9">
        <f>INDEX($B$12:$B$14,MATCH(G18,$A$12:$A$14,0))</f>
        <v/>
      </c>
    </row>
    <row r="19">
      <c r="A19" s="9" t="inlineStr">
        <is>
          <t>sintetico-scorecard-consumo</t>
        </is>
      </c>
      <c r="B19" s="7" t="n">
        <v>25000</v>
      </c>
      <c r="C19" s="7" t="n">
        <v>3</v>
      </c>
      <c r="D19" s="7" t="n">
        <v>2</v>
      </c>
      <c r="E19" s="9">
        <f>IF(B19&lt;$B$3,1,IF(B19&lt;=$B$4,2,3))</f>
        <v/>
      </c>
      <c r="F19" s="9">
        <f>ROUND($B$5*E19+$B$6*C19+$B$7*D19,4)</f>
        <v/>
      </c>
      <c r="G19" s="9">
        <f>IF(F19&gt;=$B$8,1,IF(F19&gt;=$B$9,2,3))</f>
        <v/>
      </c>
      <c r="H19" s="9">
        <f>INDEX($B$12:$B$14,MATCH(G19,$A$12:$A$14,0))</f>
        <v/>
      </c>
    </row>
    <row r="20">
      <c r="A20" s="9" t="inlineStr">
        <is>
          <t>motos-admision-scorecard</t>
        </is>
      </c>
      <c r="B20" s="7" t="n">
        <v>4500</v>
      </c>
      <c r="C20" s="7" t="n">
        <v>3</v>
      </c>
      <c r="D20" s="7" t="n">
        <v>2</v>
      </c>
      <c r="E20" s="9">
        <f>IF(B20&lt;$B$3,1,IF(B20&lt;=$B$4,2,3))</f>
        <v/>
      </c>
      <c r="F20" s="9">
        <f>ROUND($B$5*E20+$B$6*C20+$B$7*D20,4)</f>
        <v/>
      </c>
      <c r="G20" s="9">
        <f>IF(F20&gt;=$B$8,1,IF(F20&gt;=$B$9,2,3))</f>
        <v/>
      </c>
      <c r="H20" s="9">
        <f>INDEX($B$12:$B$14,MATCH(G20,$A$12:$A$14,0))</f>
        <v/>
      </c>
    </row>
    <row r="21">
      <c r="A21" s="9" t="inlineStr">
        <is>
          <t>provisiones-consumo-metodo-estandar</t>
        </is>
      </c>
      <c r="B21" s="7" t="n">
        <v>180000</v>
      </c>
      <c r="C21" s="7" t="n">
        <v>3</v>
      </c>
      <c r="D21" s="7" t="n">
        <v>1</v>
      </c>
      <c r="E21" s="9">
        <f>IF(B21&lt;$B$3,1,IF(B21&lt;=$B$4,2,3))</f>
        <v/>
      </c>
      <c r="F21" s="9">
        <f>ROUND($B$5*E21+$B$6*C21+$B$7*D21,4)</f>
        <v/>
      </c>
      <c r="G21" s="9">
        <f>IF(F21&gt;=$B$8,1,IF(F21&gt;=$B$9,2,3))</f>
        <v/>
      </c>
      <c r="H21" s="9">
        <f>INDEX($B$12:$B$14,MATCH(G21,$A$12:$A$14,0))</f>
        <v/>
      </c>
    </row>
    <row r="22">
      <c r="A22" s="9" t="inlineStr">
        <is>
          <t>bureau-score-proveedor</t>
        </is>
      </c>
      <c r="B22" s="7" t="n">
        <v>180000</v>
      </c>
      <c r="C22" s="7" t="n">
        <v>2</v>
      </c>
      <c r="D22" s="7" t="n">
        <v>3</v>
      </c>
      <c r="E22" s="9">
        <f>IF(B22&lt;$B$3,1,IF(B22&lt;=$B$4,2,3))</f>
        <v/>
      </c>
      <c r="F22" s="9">
        <f>ROUND($B$5*E22+$B$6*C22+$B$7*D22,4)</f>
        <v/>
      </c>
      <c r="G22" s="9">
        <f>IF(F22&gt;=$B$8,1,IF(F22&gt;=$B$9,2,3))</f>
        <v/>
      </c>
      <c r="H22" s="9">
        <f>INDEX($B$12:$B$14,MATCH(G22,$A$12:$A$14,0))</f>
        <v/>
      </c>
    </row>
    <row r="23">
      <c r="A23" s="9" t="inlineStr">
        <is>
          <t>pricing-motos-planilla</t>
        </is>
      </c>
      <c r="B23" s="7" t="n">
        <v>4500</v>
      </c>
      <c r="C23" s="7" t="n">
        <v>2</v>
      </c>
      <c r="D23" s="7" t="n">
        <v>1</v>
      </c>
      <c r="E23" s="9">
        <f>IF(B23&lt;$B$3,1,IF(B23&lt;=$B$4,2,3))</f>
        <v/>
      </c>
      <c r="F23" s="9">
        <f>ROUND($B$5*E23+$B$6*C23+$B$7*D23,4)</f>
        <v/>
      </c>
      <c r="G23" s="9">
        <f>IF(F23&gt;=$B$8,1,IF(F23&gt;=$B$9,2,3))</f>
        <v/>
      </c>
      <c r="H23" s="9">
        <f>INDEX($B$12:$B$14,MATCH(G23,$A$12:$A$14,0))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52" customWidth="1" min="1" max="1"/>
    <col width="22" customWidth="1" min="2" max="2"/>
    <col width="30" customWidth="1" min="3" max="3"/>
    <col width="22" customWidth="1" min="4" max="4"/>
    <col width="30" customWidth="1" min="5" max="5"/>
  </cols>
  <sheetData>
    <row r="1">
      <c r="A1" s="4" t="inlineStr">
        <is>
          <t>Fatiga de alarmas: P(al menos una falsa alarma) con k indicadores independientes al nivel α</t>
        </is>
      </c>
    </row>
    <row r="3">
      <c r="A3" t="inlineStr">
        <is>
          <t>α por indicador (nivel del test o del semáforo amarillo)</t>
        </is>
      </c>
      <c r="B3" s="18" t="n">
        <v>0.05</v>
      </c>
    </row>
    <row r="4">
      <c r="A4" t="inlineStr">
        <is>
          <t>Meses de monitoreo</t>
        </is>
      </c>
      <c r="B4" s="18" t="n">
        <v>12</v>
      </c>
    </row>
    <row r="6">
      <c r="A6" s="20" t="inlineStr">
        <is>
          <t>k indicadores</t>
        </is>
      </c>
      <c r="B6" s="20" t="inlineStr">
        <is>
          <t>P(≥1 alarma en un mes)</t>
        </is>
      </c>
      <c r="C6" s="20" t="inlineStr">
        <is>
          <t>Alarmas falsas esperadas por año</t>
        </is>
      </c>
      <c r="D6" s="20" t="inlineStr">
        <is>
          <t>P(≥1 alarma en el año)</t>
        </is>
      </c>
      <c r="E6" s="20" t="inlineStr">
        <is>
          <t>α de Bonferroni para 5% mensual</t>
        </is>
      </c>
    </row>
    <row r="7">
      <c r="A7" s="18" t="n">
        <v>1</v>
      </c>
      <c r="B7" s="13">
        <f>1-(1-$B$3)^A7</f>
        <v/>
      </c>
      <c r="C7" s="21">
        <f>A7*$B$3*$B$4</f>
        <v/>
      </c>
      <c r="D7" s="13">
        <f>1-(1-$B$3)^(A7*$B$4)</f>
        <v/>
      </c>
      <c r="E7" s="22">
        <f>0.05/A7</f>
        <v/>
      </c>
    </row>
    <row r="8">
      <c r="A8" s="18" t="n">
        <v>3</v>
      </c>
      <c r="B8" s="13">
        <f>1-(1-$B$3)^A8</f>
        <v/>
      </c>
      <c r="C8" s="21">
        <f>A8*$B$3*$B$4</f>
        <v/>
      </c>
      <c r="D8" s="13">
        <f>1-(1-$B$3)^(A8*$B$4)</f>
        <v/>
      </c>
      <c r="E8" s="22">
        <f>0.05/A8</f>
        <v/>
      </c>
    </row>
    <row r="9">
      <c r="A9" s="18" t="n">
        <v>5</v>
      </c>
      <c r="B9" s="13">
        <f>1-(1-$B$3)^A9</f>
        <v/>
      </c>
      <c r="C9" s="21">
        <f>A9*$B$3*$B$4</f>
        <v/>
      </c>
      <c r="D9" s="13">
        <f>1-(1-$B$3)^(A9*$B$4)</f>
        <v/>
      </c>
      <c r="E9" s="22">
        <f>0.05/A9</f>
        <v/>
      </c>
    </row>
    <row r="10">
      <c r="A10" s="18" t="n">
        <v>9</v>
      </c>
      <c r="B10" s="13">
        <f>1-(1-$B$3)^A10</f>
        <v/>
      </c>
      <c r="C10" s="21">
        <f>A10*$B$3*$B$4</f>
        <v/>
      </c>
      <c r="D10" s="13">
        <f>1-(1-$B$3)^(A10*$B$4)</f>
        <v/>
      </c>
      <c r="E10" s="22">
        <f>0.05/A10</f>
        <v/>
      </c>
    </row>
    <row r="11">
      <c r="A11" s="18" t="n">
        <v>12</v>
      </c>
      <c r="B11" s="13">
        <f>1-(1-$B$3)^A11</f>
        <v/>
      </c>
      <c r="C11" s="21">
        <f>A11*$B$3*$B$4</f>
        <v/>
      </c>
      <c r="D11" s="13">
        <f>1-(1-$B$3)^(A11*$B$4)</f>
        <v/>
      </c>
      <c r="E11" s="22">
        <f>0.05/A11</f>
        <v/>
      </c>
    </row>
    <row r="12">
      <c r="A12" s="18" t="n">
        <v>20</v>
      </c>
      <c r="B12" s="13">
        <f>1-(1-$B$3)^A12</f>
        <v/>
      </c>
      <c r="C12" s="21">
        <f>A12*$B$3*$B$4</f>
        <v/>
      </c>
      <c r="D12" s="13">
        <f>1-(1-$B$3)^(A12*$B$4)</f>
        <v/>
      </c>
      <c r="E12" s="22">
        <f>0.05/A12</f>
        <v/>
      </c>
    </row>
    <row r="14">
      <c r="A14" s="2" t="inlineStr">
        <is>
          <t>Lectura: con 9 indicadores al 5%, un modelo perfectamente estable prende al menos un amarillo en ~37% de los meses. Por eso el primer escalón es vigilancia reforzada (confirmar el patrón), y la recalibración exige persistencia (dos trimestres), no un dato suelto.</t>
        </is>
      </c>
    </row>
    <row r="15"/>
    <row r="16"/>
  </sheetData>
  <mergeCells count="1">
    <mergeCell ref="A14:E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2026-09-28T06:55:26Z</dcterms:created>
  <dcterms:modified xmlns:dcterms="http://purl.org/dc/terms/" xmlns:xsi="http://www.w3.org/2001/XMLSchema-instance" xsi:type="dcterms:W3CDTF">2026-09-28T06:55:26Z</dcterms:modified>
</cp:coreProperties>
</file>