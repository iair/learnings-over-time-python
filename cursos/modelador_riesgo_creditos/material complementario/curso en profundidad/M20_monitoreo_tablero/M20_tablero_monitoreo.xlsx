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ME" sheetId="1" state="visible" r:id="rId1"/>
    <sheet xmlns:r="http://schemas.openxmlformats.org/officeDocument/2006/relationships" name="Tablero" sheetId="2" state="visible" r:id="rId2"/>
    <sheet xmlns:r="http://schemas.openxmlformats.org/officeDocument/2006/relationships" name="Diagnostico" sheetId="3" state="visible" r:id="rId3"/>
    <sheet xmlns:r="http://schemas.openxmlformats.org/officeDocument/2006/relationships" name="Gatillos" sheetId="4" state="visible" r:id="rId4"/>
    <sheet xmlns:r="http://schemas.openxmlformats.org/officeDocument/2006/relationships" name="ARL_multiplicidad" sheetId="5" state="visible" r:id="rId5"/>
  </sheets>
  <definedNames/>
  <calcPr calcId="124519" fullCalcOnLoad="1"/>
</workbook>
</file>

<file path=xl/styles.xml><?xml version="1.0" encoding="utf-8"?>
<styleSheet xmlns="http://schemas.openxmlformats.org/spreadsheetml/2006/main">
  <numFmts count="3">
    <numFmt numFmtId="164" formatCode="0.000"/>
    <numFmt numFmtId="165" formatCode="0.0"/>
    <numFmt numFmtId="166" formatCode="0.0%"/>
  </numFmts>
  <fonts count="4">
    <font>
      <name val="Calibri"/>
      <family val="2"/>
      <color theme="1"/>
      <sz val="11"/>
      <scheme val="minor"/>
    </font>
    <font>
      <b val="1"/>
      <sz val="12"/>
    </font>
    <font>
      <b val="1"/>
      <sz val="11"/>
    </font>
    <font>
      <b val="1"/>
    </font>
  </fonts>
  <fills count="4">
    <fill>
      <patternFill/>
    </fill>
    <fill>
      <patternFill patternType="gray125"/>
    </fill>
    <fill>
      <patternFill patternType="solid">
        <fgColor rgb="00FFF9C4"/>
      </patternFill>
    </fill>
    <fill>
      <patternFill patternType="solid">
        <fgColor rgb="00E0E0E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0" fillId="2" borderId="0" pivotButton="0" quotePrefix="0" xfId="0"/>
    <xf numFmtId="2" fontId="0" fillId="2" borderId="0" pivotButton="0" quotePrefix="0" xfId="0"/>
    <xf numFmtId="0" fontId="3" fillId="3" borderId="1" applyAlignment="1" pivotButton="0" quotePrefix="0" xfId="0">
      <alignment vertical="center" wrapText="1"/>
    </xf>
    <xf numFmtId="0" fontId="0" fillId="0" borderId="1" applyAlignment="1" pivotButton="0" quotePrefix="0" xfId="0">
      <alignment vertical="top" wrapText="1"/>
    </xf>
    <xf numFmtId="0" fontId="0" fillId="2" borderId="1" applyAlignment="1" pivotButton="0" quotePrefix="0" xfId="0">
      <alignment vertical="top" wrapText="1"/>
    </xf>
    <xf numFmtId="0" fontId="0" fillId="2" borderId="1" pivotButton="0" quotePrefix="0" xfId="0"/>
    <xf numFmtId="164" fontId="0" fillId="2" borderId="1" pivotButton="0" quotePrefix="0" xfId="0"/>
    <xf numFmtId="0" fontId="0" fillId="0" borderId="1" applyAlignment="1" pivotButton="0" quotePrefix="0" xfId="0">
      <alignment horizontal="center"/>
    </xf>
    <xf numFmtId="164" fontId="0" fillId="0" borderId="1" applyAlignment="1" pivotButton="0" quotePrefix="0" xfId="0">
      <alignment horizontal="center"/>
    </xf>
    <xf numFmtId="9" fontId="0" fillId="0" borderId="0" pivotButton="0" quotePrefix="0" xfId="0"/>
    <xf numFmtId="0" fontId="3" fillId="3" borderId="0" pivotButton="0" quotePrefix="0" xfId="0"/>
    <xf numFmtId="0" fontId="3" fillId="0" borderId="0" applyAlignment="1" pivotButton="0" quotePrefix="0" xfId="0">
      <alignment vertical="top" wrapText="1"/>
    </xf>
    <xf numFmtId="165" fontId="0" fillId="0" borderId="0" pivotButton="0" quotePrefix="0" xfId="0"/>
    <xf numFmtId="165" fontId="0" fillId="2" borderId="0" pivotButton="0" quotePrefix="0" xfId="0"/>
    <xf numFmtId="1" fontId="0" fillId="2" borderId="0" pivotButton="0" quotePrefix="0" xfId="0"/>
    <xf numFmtId="166" fontId="0" fillId="2" borderId="0" pivotButton="0" quotePrefix="0" xfId="0"/>
    <xf numFmtId="9" fontId="0" fillId="2" borderId="0" pivotButton="0" quotePrefix="0" xfId="0"/>
    <xf numFmtId="2" fontId="0" fillId="0" borderId="0" pivotButton="0" quotePrefix="0" xfId="0"/>
  </cellXfs>
  <cellStyles count="1">
    <cellStyle name="Normal" xfId="0" builtinId="0" hidden="0"/>
  </cellStyles>
  <dxfs count="3">
    <dxf>
      <fill>
        <patternFill patternType="solid">
          <fgColor rgb="00C8E6C9"/>
        </patternFill>
      </fill>
    </dxf>
    <dxf>
      <fill>
        <patternFill patternType="solid">
          <fgColor rgb="00FFE082"/>
        </patternFill>
      </fill>
    </dxf>
    <dxf>
      <fill>
        <patternFill patternType="solid">
          <fgColor rgb="00EF9A9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M20 · Plantilla de tablero de monitoreo con semáforos y gatillos</t>
        </is>
      </c>
    </row>
    <row r="2">
      <c r="A2" s="2" t="inlineStr">
        <is>
          <t>Serie 2 «Del embudo al gobierno» · módulo M20 (monitoreo). Acompaña a M20_monitoreo_tablero.md y al notebook Marimo.</t>
        </is>
      </c>
    </row>
    <row r="3">
      <c r="A3" s="2" t="inlineStr"/>
    </row>
    <row r="4">
      <c r="A4" s="3" t="inlineStr">
        <is>
          <t>QUÉ ES</t>
        </is>
      </c>
    </row>
    <row r="5">
      <c r="A5" s="2" t="inlineStr">
        <is>
          <t>Una plantilla operable: por indicador, las cinco cosas escritas del curso (definición, umbral, frecuencia, responsable, acción) y 12 columnas mensuales donde se pegan valores. El estado (VERDE / AMARILLO / ROJO / SIN DATO) se calcula con fórmulas IF.</t>
        </is>
      </c>
    </row>
    <row r="6">
      <c r="A6" s="2" t="inlineStr"/>
    </row>
    <row r="7">
      <c r="A7" s="3" t="inlineStr">
        <is>
          <t>CÓMO USARLA</t>
        </is>
      </c>
    </row>
    <row r="8">
      <c r="A8" s="2" t="inlineStr">
        <is>
          <t>1. Hoja «Tablero»: celdas amarillo claro = entradas. Cambia umbrales, dirección o pega valores en mes_01…mes_12. Celda C3 = mes de corte (1–12): el resumen, el diagnóstico y los gatillos se evalúan en ese mes.</t>
        </is>
      </c>
    </row>
    <row r="9">
      <c r="A9" s="2" t="inlineStr">
        <is>
          <t>2. Dirección: «mayor» = malo si el valor SUBE (PSI, caída de Gini); «menor» = malo si BAJA (p-valores, KS); «bilateral» = malo si |valor| supera el umbral (desvío de aprobación).</t>
        </is>
      </c>
    </row>
    <row r="10">
      <c r="A10" s="2" t="inlineStr">
        <is>
          <t>3. Hoja «Diagnostico»: cuenta indicadores persistentes (🟡/🔴 en el mes de corte Y el anterior) por familia y aplica el árbol datos → orden → nivel → población → negocio. Los mínimos por familia son parámetros.</t>
        </is>
      </c>
    </row>
    <row r="11">
      <c r="A11" s="2" t="inlineStr">
        <is>
          <t>4. Hoja «Gatillos»: cinco partes (condición, valor hoy, quién decide, acción, plazo); «disparado» se calcula, no se escribe.</t>
        </is>
      </c>
    </row>
    <row r="12">
      <c r="A12" s="2" t="inlineStr">
        <is>
          <t>5. Hoja «ARL_multiplicidad»: cuántas falsas alarmas esperar y cuánto demora un CUSUM vs el semáforo mensual.</t>
        </is>
      </c>
    </row>
    <row r="13">
      <c r="A13" s="2" t="inlineStr"/>
    </row>
    <row r="14">
      <c r="A14" s="3" t="inlineStr">
        <is>
          <t>SUPUESTOS Y CAVEATS (léelos)</t>
        </is>
      </c>
    </row>
    <row r="15">
      <c r="A15" s="2" t="inlineStr">
        <is>
          <t>• Los valores de mes_01…mes_11 son ILUSTRATIVOS (inventados para mostrar la mecánica). El mes_12 reproduce el tablero de Banco Austral de la clase 5 (corte ago-2026) donde el indicador existe: Gini −10,8%, KS 0,545, PSI 0,013, CSI 0,138, binomial p 0,56, bandas p mín 0,020, HL p 0,012, mix D+E +3,6 pts, swap-in p 0,04.</t>
        </is>
      </c>
    </row>
    <row r="16">
      <c r="A16" s="2" t="inlineStr">
        <is>
          <t>• Umbrales: los del curso donde existen (PSI/CSI 0,10/0,25; p 0,05/0,01; caída de Gini 20%/30%; KS 0,30/0,20; mix +3/+6). Los de D1, N1, N2, A1, A2 son convenciones de este módulo: no tienen base teórica y deben fijarse ANTES de mirar el dato.</t>
        </is>
      </c>
    </row>
    <row r="17">
      <c r="A17" s="2" t="inlineStr">
        <is>
          <t>• Indicadores trimestrales: deja en blanco los meses sin medición (estado SIN DATO). SIN DATO no es VERDE: no saber no es lo mismo que saber que está bien.</t>
        </is>
      </c>
    </row>
    <row r="18">
      <c r="A18" s="2" t="inlineStr">
        <is>
          <t>• Persistencia: el estado al corte se compara con la medición anterior según la columna «paso (meses)» (1 = mes anterior, 3 = trimestre anterior). El árbol cuenta además los ROJOS del mes de corte. Con los datos de ejemplo, el mes 12 da diagnóstico POBLACIÓN y señal incipiente de NIVEL: vigilancia reforzada y recalibración programada si se sostiene, que es la acción que el curso propuso para Austral.</t>
        </is>
      </c>
    </row>
    <row r="19">
      <c r="A19" s="2" t="inlineStr">
        <is>
          <t>• La probabilidad de al menos un amarillo por azar (1−(1−α)^m) supone tests independientes; en un tablero real están correlacionados (comparten cohortes), así que es una aproximación.</t>
        </is>
      </c>
    </row>
    <row r="20">
      <c r="A20" s="2" t="inlineStr">
        <is>
          <t>• Compatible con Excel y Google Sheets: solo IF, AND, OR, ABS, MAX, INDEX, MATCH, COUNTIF, COUNTIFS, EXP, NORM.S.DIST, SQRT. Sin macros ni tablas dinámicas. El color es formato condicional (si no se importa, el texto del estado basta).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26"/>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30" customWidth="1" min="3" max="3"/>
    <col width="45" customWidth="1" min="4" max="4"/>
    <col width="10" customWidth="1" min="5" max="5"/>
    <col width="9" customWidth="1" min="6" max="6"/>
    <col width="9" customWidth="1" min="7" max="7"/>
    <col width="14" customWidth="1" min="8" max="8"/>
    <col width="8" customWidth="1" min="9" max="9"/>
    <col width="18" customWidth="1" min="10" max="10"/>
    <col width="32" customWidth="1" min="11" max="11"/>
    <col width="36" customWidth="1" min="12" max="12"/>
    <col width="8"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s>
  <sheetData>
    <row r="1">
      <c r="A1" s="4" t="inlineStr">
        <is>
          <t>Tablero de monitoreo — valores (entradas) y semáforos (fórmulas)</t>
        </is>
      </c>
    </row>
    <row r="3">
      <c r="A3" s="5" t="inlineStr">
        <is>
          <t>Mes de corte (1–12)</t>
        </is>
      </c>
      <c r="C3" s="6" t="n">
        <v>12</v>
      </c>
      <c r="E3" s="5" t="inlineStr">
        <is>
          <t>α por test (para multiplicidad)</t>
        </is>
      </c>
      <c r="G3" s="7" t="n">
        <v>0.05</v>
      </c>
    </row>
    <row r="5">
      <c r="A5" s="8" t="inlineStr">
        <is>
          <t>id</t>
        </is>
      </c>
      <c r="B5" s="8" t="inlineStr">
        <is>
          <t>familia</t>
        </is>
      </c>
      <c r="C5" s="8" t="inlineStr">
        <is>
          <t>indicador</t>
        </is>
      </c>
      <c r="D5" s="8" t="inlineStr">
        <is>
          <t>definición</t>
        </is>
      </c>
      <c r="E5" s="8" t="inlineStr">
        <is>
          <t>dirección</t>
        </is>
      </c>
      <c r="F5" s="8" t="inlineStr">
        <is>
          <t>umbral 🟡</t>
        </is>
      </c>
      <c r="G5" s="8" t="inlineStr">
        <is>
          <t>umbral 🔴</t>
        </is>
      </c>
      <c r="H5" s="8" t="inlineStr">
        <is>
          <t>frecuencia</t>
        </is>
      </c>
      <c r="I5" s="8" t="inlineStr">
        <is>
          <t>rezago (meses)</t>
        </is>
      </c>
      <c r="J5" s="8" t="inlineStr">
        <is>
          <t>responsable</t>
        </is>
      </c>
      <c r="K5" s="8" t="inlineStr">
        <is>
          <t>acción si 🟡</t>
        </is>
      </c>
      <c r="L5" s="8" t="inlineStr">
        <is>
          <t>acción si 🔴</t>
        </is>
      </c>
      <c r="M5" s="8" t="inlineStr">
        <is>
          <t>paso (meses)</t>
        </is>
      </c>
      <c r="N5" s="8" t="inlineStr">
        <is>
          <t>mes_01</t>
        </is>
      </c>
      <c r="O5" s="8" t="inlineStr">
        <is>
          <t>mes_02</t>
        </is>
      </c>
      <c r="P5" s="8" t="inlineStr">
        <is>
          <t>mes_03</t>
        </is>
      </c>
      <c r="Q5" s="8" t="inlineStr">
        <is>
          <t>mes_04</t>
        </is>
      </c>
      <c r="R5" s="8" t="inlineStr">
        <is>
          <t>mes_05</t>
        </is>
      </c>
      <c r="S5" s="8" t="inlineStr">
        <is>
          <t>mes_06</t>
        </is>
      </c>
      <c r="T5" s="8" t="inlineStr">
        <is>
          <t>mes_07</t>
        </is>
      </c>
      <c r="U5" s="8" t="inlineStr">
        <is>
          <t>mes_08</t>
        </is>
      </c>
      <c r="V5" s="8" t="inlineStr">
        <is>
          <t>mes_09</t>
        </is>
      </c>
      <c r="W5" s="8" t="inlineStr">
        <is>
          <t>mes_10</t>
        </is>
      </c>
      <c r="X5" s="8" t="inlineStr">
        <is>
          <t>mes_11</t>
        </is>
      </c>
      <c r="Y5" s="8" t="inlineStr">
        <is>
          <t>mes_12</t>
        </is>
      </c>
      <c r="Z5" s="8" t="inlineStr">
        <is>
          <t>estado_01</t>
        </is>
      </c>
      <c r="AA5" s="8" t="inlineStr">
        <is>
          <t>estado_02</t>
        </is>
      </c>
      <c r="AB5" s="8" t="inlineStr">
        <is>
          <t>estado_03</t>
        </is>
      </c>
      <c r="AC5" s="8" t="inlineStr">
        <is>
          <t>estado_04</t>
        </is>
      </c>
      <c r="AD5" s="8" t="inlineStr">
        <is>
          <t>estado_05</t>
        </is>
      </c>
      <c r="AE5" s="8" t="inlineStr">
        <is>
          <t>estado_06</t>
        </is>
      </c>
      <c r="AF5" s="8" t="inlineStr">
        <is>
          <t>estado_07</t>
        </is>
      </c>
      <c r="AG5" s="8" t="inlineStr">
        <is>
          <t>estado_08</t>
        </is>
      </c>
      <c r="AH5" s="8" t="inlineStr">
        <is>
          <t>estado_09</t>
        </is>
      </c>
      <c r="AI5" s="8" t="inlineStr">
        <is>
          <t>estado_10</t>
        </is>
      </c>
      <c r="AJ5" s="8" t="inlineStr">
        <is>
          <t>estado_11</t>
        </is>
      </c>
      <c r="AK5" s="8" t="inlineStr">
        <is>
          <t>estado_12</t>
        </is>
      </c>
      <c r="AL5" s="8" t="inlineStr">
        <is>
          <t>valor al corte</t>
        </is>
      </c>
      <c r="AM5" s="8" t="inlineStr">
        <is>
          <t>estado al corte</t>
        </is>
      </c>
      <c r="AN5" s="8" t="inlineStr">
        <is>
          <t>estado medición anterior</t>
        </is>
      </c>
      <c r="AO5" s="8" t="inlineStr">
        <is>
          <t>persistente (2 mediciones)</t>
        </is>
      </c>
      <c r="AP5" s="8" t="inlineStr">
        <is>
          <t>rojo al corte</t>
        </is>
      </c>
    </row>
    <row r="6">
      <c r="A6" s="9" t="inlineStr">
        <is>
          <t>D1</t>
        </is>
      </c>
      <c r="B6" s="9" t="inlineStr">
        <is>
          <t>datos</t>
        </is>
      </c>
      <c r="C6" s="9" t="inlineStr">
        <is>
          <t>Violaciones de contrato (% solicitudes)</t>
        </is>
      </c>
      <c r="D6" s="9" t="inlineStr">
        <is>
          <t>Filas del mes con variable del modelo fuera de rango, missing no permitido o valor centinela / total de solicitudes</t>
        </is>
      </c>
      <c r="E6" s="10" t="inlineStr">
        <is>
          <t>mayor</t>
        </is>
      </c>
      <c r="F6" s="10" t="n">
        <v>1</v>
      </c>
      <c r="G6" s="10" t="n">
        <v>3</v>
      </c>
      <c r="H6" s="9" t="inlineStr">
        <is>
          <t>Mensual (diario en operación)</t>
        </is>
      </c>
      <c r="I6" s="9" t="n">
        <v>0</v>
      </c>
      <c r="J6" s="9" t="inlineStr">
        <is>
          <t>Dueño del dato (TI)</t>
        </is>
      </c>
      <c r="K6" s="9" t="inlineStr">
        <is>
          <t>Revisar feed y cola de excepciones en 48 h</t>
        </is>
      </c>
      <c r="L6" s="9" t="inlineStr">
        <is>
          <t>Contingencia: filas afectadas a política experta; corregir y re-puntuar</t>
        </is>
      </c>
      <c r="M6" s="11" t="n">
        <v>1</v>
      </c>
      <c r="N6" s="12" t="n">
        <v>0.1</v>
      </c>
      <c r="O6" s="12" t="n">
        <v>0.2</v>
      </c>
      <c r="P6" s="12" t="n">
        <v>0.1</v>
      </c>
      <c r="Q6" s="12" t="n">
        <v>0</v>
      </c>
      <c r="R6" s="12" t="n">
        <v>0.3</v>
      </c>
      <c r="S6" s="12" t="n">
        <v>0.2</v>
      </c>
      <c r="T6" s="12" t="n">
        <v>0.1</v>
      </c>
      <c r="U6" s="12" t="n">
        <v>0.4</v>
      </c>
      <c r="V6" s="12" t="n">
        <v>0.2</v>
      </c>
      <c r="W6" s="12" t="n">
        <v>0.1</v>
      </c>
      <c r="X6" s="12" t="n">
        <v>0.2</v>
      </c>
      <c r="Y6" s="12" t="n">
        <v>0.2</v>
      </c>
      <c r="Z6" s="13">
        <f>IF(N6="","SIN DATO",IF($E6="mayor",IF(N6&gt;$G6,"ROJO",IF(N6&gt;$F6,"AMARILLO","VERDE")),IF($E6="menor",IF(N6&lt;$G6,"ROJO",IF(N6&lt;$F6,"AMARILLO","VERDE")),IF(ABS(N6)&gt;$G6,"ROJO",IF(ABS(N6)&gt;$F6,"AMARILLO","VERDE")))))</f>
        <v/>
      </c>
      <c r="AA6" s="13">
        <f>IF(O6="","SIN DATO",IF($E6="mayor",IF(O6&gt;$G6,"ROJO",IF(O6&gt;$F6,"AMARILLO","VERDE")),IF($E6="menor",IF(O6&lt;$G6,"ROJO",IF(O6&lt;$F6,"AMARILLO","VERDE")),IF(ABS(O6)&gt;$G6,"ROJO",IF(ABS(O6)&gt;$F6,"AMARILLO","VERDE")))))</f>
        <v/>
      </c>
      <c r="AB6" s="13">
        <f>IF(P6="","SIN DATO",IF($E6="mayor",IF(P6&gt;$G6,"ROJO",IF(P6&gt;$F6,"AMARILLO","VERDE")),IF($E6="menor",IF(P6&lt;$G6,"ROJO",IF(P6&lt;$F6,"AMARILLO","VERDE")),IF(ABS(P6)&gt;$G6,"ROJO",IF(ABS(P6)&gt;$F6,"AMARILLO","VERDE")))))</f>
        <v/>
      </c>
      <c r="AC6" s="13">
        <f>IF(Q6="","SIN DATO",IF($E6="mayor",IF(Q6&gt;$G6,"ROJO",IF(Q6&gt;$F6,"AMARILLO","VERDE")),IF($E6="menor",IF(Q6&lt;$G6,"ROJO",IF(Q6&lt;$F6,"AMARILLO","VERDE")),IF(ABS(Q6)&gt;$G6,"ROJO",IF(ABS(Q6)&gt;$F6,"AMARILLO","VERDE")))))</f>
        <v/>
      </c>
      <c r="AD6" s="13">
        <f>IF(R6="","SIN DATO",IF($E6="mayor",IF(R6&gt;$G6,"ROJO",IF(R6&gt;$F6,"AMARILLO","VERDE")),IF($E6="menor",IF(R6&lt;$G6,"ROJO",IF(R6&lt;$F6,"AMARILLO","VERDE")),IF(ABS(R6)&gt;$G6,"ROJO",IF(ABS(R6)&gt;$F6,"AMARILLO","VERDE")))))</f>
        <v/>
      </c>
      <c r="AE6" s="13">
        <f>IF(S6="","SIN DATO",IF($E6="mayor",IF(S6&gt;$G6,"ROJO",IF(S6&gt;$F6,"AMARILLO","VERDE")),IF($E6="menor",IF(S6&lt;$G6,"ROJO",IF(S6&lt;$F6,"AMARILLO","VERDE")),IF(ABS(S6)&gt;$G6,"ROJO",IF(ABS(S6)&gt;$F6,"AMARILLO","VERDE")))))</f>
        <v/>
      </c>
      <c r="AF6" s="13">
        <f>IF(T6="","SIN DATO",IF($E6="mayor",IF(T6&gt;$G6,"ROJO",IF(T6&gt;$F6,"AMARILLO","VERDE")),IF($E6="menor",IF(T6&lt;$G6,"ROJO",IF(T6&lt;$F6,"AMARILLO","VERDE")),IF(ABS(T6)&gt;$G6,"ROJO",IF(ABS(T6)&gt;$F6,"AMARILLO","VERDE")))))</f>
        <v/>
      </c>
      <c r="AG6" s="13">
        <f>IF(U6="","SIN DATO",IF($E6="mayor",IF(U6&gt;$G6,"ROJO",IF(U6&gt;$F6,"AMARILLO","VERDE")),IF($E6="menor",IF(U6&lt;$G6,"ROJO",IF(U6&lt;$F6,"AMARILLO","VERDE")),IF(ABS(U6)&gt;$G6,"ROJO",IF(ABS(U6)&gt;$F6,"AMARILLO","VERDE")))))</f>
        <v/>
      </c>
      <c r="AH6" s="13">
        <f>IF(V6="","SIN DATO",IF($E6="mayor",IF(V6&gt;$G6,"ROJO",IF(V6&gt;$F6,"AMARILLO","VERDE")),IF($E6="menor",IF(V6&lt;$G6,"ROJO",IF(V6&lt;$F6,"AMARILLO","VERDE")),IF(ABS(V6)&gt;$G6,"ROJO",IF(ABS(V6)&gt;$F6,"AMARILLO","VERDE")))))</f>
        <v/>
      </c>
      <c r="AI6" s="13">
        <f>IF(W6="","SIN DATO",IF($E6="mayor",IF(W6&gt;$G6,"ROJO",IF(W6&gt;$F6,"AMARILLO","VERDE")),IF($E6="menor",IF(W6&lt;$G6,"ROJO",IF(W6&lt;$F6,"AMARILLO","VERDE")),IF(ABS(W6)&gt;$G6,"ROJO",IF(ABS(W6)&gt;$F6,"AMARILLO","VERDE")))))</f>
        <v/>
      </c>
      <c r="AJ6" s="13">
        <f>IF(X6="","SIN DATO",IF($E6="mayor",IF(X6&gt;$G6,"ROJO",IF(X6&gt;$F6,"AMARILLO","VERDE")),IF($E6="menor",IF(X6&lt;$G6,"ROJO",IF(X6&lt;$F6,"AMARILLO","VERDE")),IF(ABS(X6)&gt;$G6,"ROJO",IF(ABS(X6)&gt;$F6,"AMARILLO","VERDE")))))</f>
        <v/>
      </c>
      <c r="AK6" s="13">
        <f>IF(Y6="","SIN DATO",IF($E6="mayor",IF(Y6&gt;$G6,"ROJO",IF(Y6&gt;$F6,"AMARILLO","VERDE")),IF($E6="menor",IF(Y6&lt;$G6,"ROJO",IF(Y6&lt;$F6,"AMARILLO","VERDE")),IF(ABS(Y6)&gt;$G6,"ROJO",IF(ABS(Y6)&gt;$F6,"AMARILLO","VERDE")))))</f>
        <v/>
      </c>
      <c r="AL6" s="14">
        <f>IF(INDEX(N6:Y6,1,$C$3)="","—",INDEX(N6:Y6,1,$C$3))</f>
        <v/>
      </c>
      <c r="AM6" s="13">
        <f>INDEX(Z6:AK6,1,$C$3)</f>
        <v/>
      </c>
      <c r="AN6" s="13">
        <f>IF($C$3-M6&lt;1,"SIN DATO",INDEX(Z6:AK6,1,$C$3-M6))</f>
        <v/>
      </c>
      <c r="AO6" s="13">
        <f>IF(AND(OR(AM6="AMARILLO",AM6="ROJO"),OR(AN6="AMARILLO",AN6="ROJO")),"SÍ","no")</f>
        <v/>
      </c>
      <c r="AP6" s="13">
        <f>IF(AM6="ROJO","SÍ","no")</f>
        <v/>
      </c>
    </row>
    <row r="7">
      <c r="A7" s="9" t="inlineStr">
        <is>
          <t>P1</t>
        </is>
      </c>
      <c r="B7" s="9" t="inlineStr">
        <is>
          <t>población</t>
        </is>
      </c>
      <c r="C7" s="9" t="inlineStr">
        <is>
          <t>PSI del score DEV→bandeja (8 bandas)</t>
        </is>
      </c>
      <c r="D7" s="9" t="inlineStr">
        <is>
          <t>Σ (a−e)·ln(a/e) sobre las 8 bandas de la master scale; e = % DEV congelado</t>
        </is>
      </c>
      <c r="E7" s="10" t="inlineStr">
        <is>
          <t>mayor</t>
        </is>
      </c>
      <c r="F7" s="10" t="n">
        <v>0.1</v>
      </c>
      <c r="G7" s="10" t="n">
        <v>0.25</v>
      </c>
      <c r="H7" s="9" t="inlineStr">
        <is>
          <t>Mensual</t>
        </is>
      </c>
      <c r="I7" s="9" t="n">
        <v>0</v>
      </c>
      <c r="J7" s="9" t="inlineStr">
        <is>
          <t>Modelador</t>
        </is>
      </c>
      <c r="K7" s="9" t="inlineStr">
        <is>
          <t>Vigilancia reforzada; aportes por banda</t>
        </is>
      </c>
      <c r="L7" s="9" t="inlineStr">
        <is>
          <t>Revisar estrategia/cutoff; análisis de causa</t>
        </is>
      </c>
      <c r="M7" s="11" t="n">
        <v>1</v>
      </c>
      <c r="N7" s="12" t="n">
        <v>0.004</v>
      </c>
      <c r="O7" s="12" t="n">
        <v>0.006</v>
      </c>
      <c r="P7" s="12" t="n">
        <v>0.005</v>
      </c>
      <c r="Q7" s="12" t="n">
        <v>0.007</v>
      </c>
      <c r="R7" s="12" t="n">
        <v>0.006</v>
      </c>
      <c r="S7" s="12" t="n">
        <v>0.008</v>
      </c>
      <c r="T7" s="12" t="n">
        <v>0.008999999999999999</v>
      </c>
      <c r="U7" s="12" t="n">
        <v>0.008</v>
      </c>
      <c r="V7" s="12" t="n">
        <v>0.01</v>
      </c>
      <c r="W7" s="12" t="n">
        <v>0.011</v>
      </c>
      <c r="X7" s="12" t="n">
        <v>0.012</v>
      </c>
      <c r="Y7" s="12" t="n">
        <v>0.013</v>
      </c>
      <c r="Z7" s="13">
        <f>IF(N7="","SIN DATO",IF($E7="mayor",IF(N7&gt;$G7,"ROJO",IF(N7&gt;$F7,"AMARILLO","VERDE")),IF($E7="menor",IF(N7&lt;$G7,"ROJO",IF(N7&lt;$F7,"AMARILLO","VERDE")),IF(ABS(N7)&gt;$G7,"ROJO",IF(ABS(N7)&gt;$F7,"AMARILLO","VERDE")))))</f>
        <v/>
      </c>
      <c r="AA7" s="13">
        <f>IF(O7="","SIN DATO",IF($E7="mayor",IF(O7&gt;$G7,"ROJO",IF(O7&gt;$F7,"AMARILLO","VERDE")),IF($E7="menor",IF(O7&lt;$G7,"ROJO",IF(O7&lt;$F7,"AMARILLO","VERDE")),IF(ABS(O7)&gt;$G7,"ROJO",IF(ABS(O7)&gt;$F7,"AMARILLO","VERDE")))))</f>
        <v/>
      </c>
      <c r="AB7" s="13">
        <f>IF(P7="","SIN DATO",IF($E7="mayor",IF(P7&gt;$G7,"ROJO",IF(P7&gt;$F7,"AMARILLO","VERDE")),IF($E7="menor",IF(P7&lt;$G7,"ROJO",IF(P7&lt;$F7,"AMARILLO","VERDE")),IF(ABS(P7)&gt;$G7,"ROJO",IF(ABS(P7)&gt;$F7,"AMARILLO","VERDE")))))</f>
        <v/>
      </c>
      <c r="AC7" s="13">
        <f>IF(Q7="","SIN DATO",IF($E7="mayor",IF(Q7&gt;$G7,"ROJO",IF(Q7&gt;$F7,"AMARILLO","VERDE")),IF($E7="menor",IF(Q7&lt;$G7,"ROJO",IF(Q7&lt;$F7,"AMARILLO","VERDE")),IF(ABS(Q7)&gt;$G7,"ROJO",IF(ABS(Q7)&gt;$F7,"AMARILLO","VERDE")))))</f>
        <v/>
      </c>
      <c r="AD7" s="13">
        <f>IF(R7="","SIN DATO",IF($E7="mayor",IF(R7&gt;$G7,"ROJO",IF(R7&gt;$F7,"AMARILLO","VERDE")),IF($E7="menor",IF(R7&lt;$G7,"ROJO",IF(R7&lt;$F7,"AMARILLO","VERDE")),IF(ABS(R7)&gt;$G7,"ROJO",IF(ABS(R7)&gt;$F7,"AMARILLO","VERDE")))))</f>
        <v/>
      </c>
      <c r="AE7" s="13">
        <f>IF(S7="","SIN DATO",IF($E7="mayor",IF(S7&gt;$G7,"ROJO",IF(S7&gt;$F7,"AMARILLO","VERDE")),IF($E7="menor",IF(S7&lt;$G7,"ROJO",IF(S7&lt;$F7,"AMARILLO","VERDE")),IF(ABS(S7)&gt;$G7,"ROJO",IF(ABS(S7)&gt;$F7,"AMARILLO","VERDE")))))</f>
        <v/>
      </c>
      <c r="AF7" s="13">
        <f>IF(T7="","SIN DATO",IF($E7="mayor",IF(T7&gt;$G7,"ROJO",IF(T7&gt;$F7,"AMARILLO","VERDE")),IF($E7="menor",IF(T7&lt;$G7,"ROJO",IF(T7&lt;$F7,"AMARILLO","VERDE")),IF(ABS(T7)&gt;$G7,"ROJO",IF(ABS(T7)&gt;$F7,"AMARILLO","VERDE")))))</f>
        <v/>
      </c>
      <c r="AG7" s="13">
        <f>IF(U7="","SIN DATO",IF($E7="mayor",IF(U7&gt;$G7,"ROJO",IF(U7&gt;$F7,"AMARILLO","VERDE")),IF($E7="menor",IF(U7&lt;$G7,"ROJO",IF(U7&lt;$F7,"AMARILLO","VERDE")),IF(ABS(U7)&gt;$G7,"ROJO",IF(ABS(U7)&gt;$F7,"AMARILLO","VERDE")))))</f>
        <v/>
      </c>
      <c r="AH7" s="13">
        <f>IF(V7="","SIN DATO",IF($E7="mayor",IF(V7&gt;$G7,"ROJO",IF(V7&gt;$F7,"AMARILLO","VERDE")),IF($E7="menor",IF(V7&lt;$G7,"ROJO",IF(V7&lt;$F7,"AMARILLO","VERDE")),IF(ABS(V7)&gt;$G7,"ROJO",IF(ABS(V7)&gt;$F7,"AMARILLO","VERDE")))))</f>
        <v/>
      </c>
      <c r="AI7" s="13">
        <f>IF(W7="","SIN DATO",IF($E7="mayor",IF(W7&gt;$G7,"ROJO",IF(W7&gt;$F7,"AMARILLO","VERDE")),IF($E7="menor",IF(W7&lt;$G7,"ROJO",IF(W7&lt;$F7,"AMARILLO","VERDE")),IF(ABS(W7)&gt;$G7,"ROJO",IF(ABS(W7)&gt;$F7,"AMARILLO","VERDE")))))</f>
        <v/>
      </c>
      <c r="AJ7" s="13">
        <f>IF(X7="","SIN DATO",IF($E7="mayor",IF(X7&gt;$G7,"ROJO",IF(X7&gt;$F7,"AMARILLO","VERDE")),IF($E7="menor",IF(X7&lt;$G7,"ROJO",IF(X7&lt;$F7,"AMARILLO","VERDE")),IF(ABS(X7)&gt;$G7,"ROJO",IF(ABS(X7)&gt;$F7,"AMARILLO","VERDE")))))</f>
        <v/>
      </c>
      <c r="AK7" s="13">
        <f>IF(Y7="","SIN DATO",IF($E7="mayor",IF(Y7&gt;$G7,"ROJO",IF(Y7&gt;$F7,"AMARILLO","VERDE")),IF($E7="menor",IF(Y7&lt;$G7,"ROJO",IF(Y7&lt;$F7,"AMARILLO","VERDE")),IF(ABS(Y7)&gt;$G7,"ROJO",IF(ABS(Y7)&gt;$F7,"AMARILLO","VERDE")))))</f>
        <v/>
      </c>
      <c r="AL7" s="14">
        <f>IF(INDEX(N7:Y7,1,$C$3)="","—",INDEX(N7:Y7,1,$C$3))</f>
        <v/>
      </c>
      <c r="AM7" s="13">
        <f>INDEX(Z7:AK7,1,$C$3)</f>
        <v/>
      </c>
      <c r="AN7" s="13">
        <f>IF($C$3-M7&lt;1,"SIN DATO",INDEX(Z7:AK7,1,$C$3-M7))</f>
        <v/>
      </c>
      <c r="AO7" s="13">
        <f>IF(AND(OR(AM7="AMARILLO",AM7="ROJO"),OR(AN7="AMARILLO",AN7="ROJO")),"SÍ","no")</f>
        <v/>
      </c>
      <c r="AP7" s="13">
        <f>IF(AM7="ROJO","SÍ","no")</f>
        <v/>
      </c>
    </row>
    <row r="8">
      <c r="A8" s="9" t="inlineStr">
        <is>
          <t>P2</t>
        </is>
      </c>
      <c r="B8" s="9" t="inlineStr">
        <is>
          <t>población</t>
        </is>
      </c>
      <c r="C8" s="9" t="inlineStr">
        <is>
          <t>CSI máximo DEV→bandeja</t>
        </is>
      </c>
      <c r="D8" s="9" t="inlineStr">
        <is>
          <t>Máximo sobre las variables del scorecard del PSI con los bins WoE de DEV</t>
        </is>
      </c>
      <c r="E8" s="10" t="inlineStr">
        <is>
          <t>mayor</t>
        </is>
      </c>
      <c r="F8" s="10" t="n">
        <v>0.1</v>
      </c>
      <c r="G8" s="10" t="n">
        <v>0.25</v>
      </c>
      <c r="H8" s="9" t="inlineStr">
        <is>
          <t>Mensual</t>
        </is>
      </c>
      <c r="I8" s="9" t="n">
        <v>0</v>
      </c>
      <c r="J8" s="9" t="inlineStr">
        <is>
          <t>Modelador</t>
        </is>
      </c>
      <c r="K8" s="9" t="inlineStr">
        <is>
          <t>Identificar variable y causa (producto, canal, feed)</t>
        </is>
      </c>
      <c r="L8" s="9" t="inlineStr">
        <is>
          <t>Revisar variable; evaluar impacto en score y calibración</t>
        </is>
      </c>
      <c r="M8" s="11" t="n">
        <v>1</v>
      </c>
      <c r="N8" s="12" t="n">
        <v>0.02</v>
      </c>
      <c r="O8" s="12" t="n">
        <v>0.03</v>
      </c>
      <c r="P8" s="12" t="n">
        <v>0.03</v>
      </c>
      <c r="Q8" s="12" t="n">
        <v>0.04</v>
      </c>
      <c r="R8" s="12" t="n">
        <v>0.05</v>
      </c>
      <c r="S8" s="12" t="n">
        <v>0.06</v>
      </c>
      <c r="T8" s="12" t="n">
        <v>0.07000000000000001</v>
      </c>
      <c r="U8" s="12" t="n">
        <v>0.08</v>
      </c>
      <c r="V8" s="12" t="n">
        <v>0.09</v>
      </c>
      <c r="W8" s="12" t="n">
        <v>0.11</v>
      </c>
      <c r="X8" s="12" t="n">
        <v>0.12</v>
      </c>
      <c r="Y8" s="12" t="n">
        <v>0.138</v>
      </c>
      <c r="Z8" s="13">
        <f>IF(N8="","SIN DATO",IF($E8="mayor",IF(N8&gt;$G8,"ROJO",IF(N8&gt;$F8,"AMARILLO","VERDE")),IF($E8="menor",IF(N8&lt;$G8,"ROJO",IF(N8&lt;$F8,"AMARILLO","VERDE")),IF(ABS(N8)&gt;$G8,"ROJO",IF(ABS(N8)&gt;$F8,"AMARILLO","VERDE")))))</f>
        <v/>
      </c>
      <c r="AA8" s="13">
        <f>IF(O8="","SIN DATO",IF($E8="mayor",IF(O8&gt;$G8,"ROJO",IF(O8&gt;$F8,"AMARILLO","VERDE")),IF($E8="menor",IF(O8&lt;$G8,"ROJO",IF(O8&lt;$F8,"AMARILLO","VERDE")),IF(ABS(O8)&gt;$G8,"ROJO",IF(ABS(O8)&gt;$F8,"AMARILLO","VERDE")))))</f>
        <v/>
      </c>
      <c r="AB8" s="13">
        <f>IF(P8="","SIN DATO",IF($E8="mayor",IF(P8&gt;$G8,"ROJO",IF(P8&gt;$F8,"AMARILLO","VERDE")),IF($E8="menor",IF(P8&lt;$G8,"ROJO",IF(P8&lt;$F8,"AMARILLO","VERDE")),IF(ABS(P8)&gt;$G8,"ROJO",IF(ABS(P8)&gt;$F8,"AMARILLO","VERDE")))))</f>
        <v/>
      </c>
      <c r="AC8" s="13">
        <f>IF(Q8="","SIN DATO",IF($E8="mayor",IF(Q8&gt;$G8,"ROJO",IF(Q8&gt;$F8,"AMARILLO","VERDE")),IF($E8="menor",IF(Q8&lt;$G8,"ROJO",IF(Q8&lt;$F8,"AMARILLO","VERDE")),IF(ABS(Q8)&gt;$G8,"ROJO",IF(ABS(Q8)&gt;$F8,"AMARILLO","VERDE")))))</f>
        <v/>
      </c>
      <c r="AD8" s="13">
        <f>IF(R8="","SIN DATO",IF($E8="mayor",IF(R8&gt;$G8,"ROJO",IF(R8&gt;$F8,"AMARILLO","VERDE")),IF($E8="menor",IF(R8&lt;$G8,"ROJO",IF(R8&lt;$F8,"AMARILLO","VERDE")),IF(ABS(R8)&gt;$G8,"ROJO",IF(ABS(R8)&gt;$F8,"AMARILLO","VERDE")))))</f>
        <v/>
      </c>
      <c r="AE8" s="13">
        <f>IF(S8="","SIN DATO",IF($E8="mayor",IF(S8&gt;$G8,"ROJO",IF(S8&gt;$F8,"AMARILLO","VERDE")),IF($E8="menor",IF(S8&lt;$G8,"ROJO",IF(S8&lt;$F8,"AMARILLO","VERDE")),IF(ABS(S8)&gt;$G8,"ROJO",IF(ABS(S8)&gt;$F8,"AMARILLO","VERDE")))))</f>
        <v/>
      </c>
      <c r="AF8" s="13">
        <f>IF(T8="","SIN DATO",IF($E8="mayor",IF(T8&gt;$G8,"ROJO",IF(T8&gt;$F8,"AMARILLO","VERDE")),IF($E8="menor",IF(T8&lt;$G8,"ROJO",IF(T8&lt;$F8,"AMARILLO","VERDE")),IF(ABS(T8)&gt;$G8,"ROJO",IF(ABS(T8)&gt;$F8,"AMARILLO","VERDE")))))</f>
        <v/>
      </c>
      <c r="AG8" s="13">
        <f>IF(U8="","SIN DATO",IF($E8="mayor",IF(U8&gt;$G8,"ROJO",IF(U8&gt;$F8,"AMARILLO","VERDE")),IF($E8="menor",IF(U8&lt;$G8,"ROJO",IF(U8&lt;$F8,"AMARILLO","VERDE")),IF(ABS(U8)&gt;$G8,"ROJO",IF(ABS(U8)&gt;$F8,"AMARILLO","VERDE")))))</f>
        <v/>
      </c>
      <c r="AH8" s="13">
        <f>IF(V8="","SIN DATO",IF($E8="mayor",IF(V8&gt;$G8,"ROJO",IF(V8&gt;$F8,"AMARILLO","VERDE")),IF($E8="menor",IF(V8&lt;$G8,"ROJO",IF(V8&lt;$F8,"AMARILLO","VERDE")),IF(ABS(V8)&gt;$G8,"ROJO",IF(ABS(V8)&gt;$F8,"AMARILLO","VERDE")))))</f>
        <v/>
      </c>
      <c r="AI8" s="13">
        <f>IF(W8="","SIN DATO",IF($E8="mayor",IF(W8&gt;$G8,"ROJO",IF(W8&gt;$F8,"AMARILLO","VERDE")),IF($E8="menor",IF(W8&lt;$G8,"ROJO",IF(W8&lt;$F8,"AMARILLO","VERDE")),IF(ABS(W8)&gt;$G8,"ROJO",IF(ABS(W8)&gt;$F8,"AMARILLO","VERDE")))))</f>
        <v/>
      </c>
      <c r="AJ8" s="13">
        <f>IF(X8="","SIN DATO",IF($E8="mayor",IF(X8&gt;$G8,"ROJO",IF(X8&gt;$F8,"AMARILLO","VERDE")),IF($E8="menor",IF(X8&lt;$G8,"ROJO",IF(X8&lt;$F8,"AMARILLO","VERDE")),IF(ABS(X8)&gt;$G8,"ROJO",IF(ABS(X8)&gt;$F8,"AMARILLO","VERDE")))))</f>
        <v/>
      </c>
      <c r="AK8" s="13">
        <f>IF(Y8="","SIN DATO",IF($E8="mayor",IF(Y8&gt;$G8,"ROJO",IF(Y8&gt;$F8,"AMARILLO","VERDE")),IF($E8="menor",IF(Y8&lt;$G8,"ROJO",IF(Y8&lt;$F8,"AMARILLO","VERDE")),IF(ABS(Y8)&gt;$G8,"ROJO",IF(ABS(Y8)&gt;$F8,"AMARILLO","VERDE")))))</f>
        <v/>
      </c>
      <c r="AL8" s="14">
        <f>IF(INDEX(N8:Y8,1,$C$3)="","—",INDEX(N8:Y8,1,$C$3))</f>
        <v/>
      </c>
      <c r="AM8" s="13">
        <f>INDEX(Z8:AK8,1,$C$3)</f>
        <v/>
      </c>
      <c r="AN8" s="13">
        <f>IF($C$3-M8&lt;1,"SIN DATO",INDEX(Z8:AK8,1,$C$3-M8))</f>
        <v/>
      </c>
      <c r="AO8" s="13">
        <f>IF(AND(OR(AM8="AMARILLO",AM8="ROJO"),OR(AN8="AMARILLO",AN8="ROJO")),"SÍ","no")</f>
        <v/>
      </c>
      <c r="AP8" s="13">
        <f>IF(AM8="ROJO","SÍ","no")</f>
        <v/>
      </c>
    </row>
    <row r="9">
      <c r="A9" s="9" t="inlineStr">
        <is>
          <t>P3</t>
        </is>
      </c>
      <c r="B9" s="9" t="inlineStr">
        <is>
          <t>población</t>
        </is>
      </c>
      <c r="C9" s="9" t="inlineStr">
        <is>
          <t>Mix D+E en la bandeja (pts vs modelo)</t>
        </is>
      </c>
      <c r="D9" s="9" t="inlineStr">
        <is>
          <t>% de solicitudes en bandas D+E menos el % de referencia</t>
        </is>
      </c>
      <c r="E9" s="10" t="inlineStr">
        <is>
          <t>mayor</t>
        </is>
      </c>
      <c r="F9" s="10" t="n">
        <v>3</v>
      </c>
      <c r="G9" s="10" t="n">
        <v>6</v>
      </c>
      <c r="H9" s="9" t="inlineStr">
        <is>
          <t>Mensual</t>
        </is>
      </c>
      <c r="I9" s="9" t="n">
        <v>0</v>
      </c>
      <c r="J9" s="9" t="inlineStr">
        <is>
          <t>Modelador</t>
        </is>
      </c>
      <c r="K9" s="9" t="inlineStr">
        <is>
          <t>Vigilancia; revisar canal/campañas</t>
        </is>
      </c>
      <c r="L9" s="9" t="inlineStr">
        <is>
          <t>Revisar cutoff y capacidad de cobranza</t>
        </is>
      </c>
      <c r="M9" s="11" t="n">
        <v>1</v>
      </c>
      <c r="N9" s="12" t="n">
        <v>0.4</v>
      </c>
      <c r="O9" s="12" t="n">
        <v>0.6</v>
      </c>
      <c r="P9" s="12" t="n">
        <v>0.9</v>
      </c>
      <c r="Q9" s="12" t="n">
        <v>1.1</v>
      </c>
      <c r="R9" s="12" t="n">
        <v>1.5</v>
      </c>
      <c r="S9" s="12" t="n">
        <v>1.8</v>
      </c>
      <c r="T9" s="12" t="n">
        <v>2.2</v>
      </c>
      <c r="U9" s="12" t="n">
        <v>2.5</v>
      </c>
      <c r="V9" s="12" t="n">
        <v>2.8</v>
      </c>
      <c r="W9" s="12" t="n">
        <v>3.1</v>
      </c>
      <c r="X9" s="12" t="n">
        <v>3.3</v>
      </c>
      <c r="Y9" s="12" t="n">
        <v>3.6</v>
      </c>
      <c r="Z9" s="13">
        <f>IF(N9="","SIN DATO",IF($E9="mayor",IF(N9&gt;$G9,"ROJO",IF(N9&gt;$F9,"AMARILLO","VERDE")),IF($E9="menor",IF(N9&lt;$G9,"ROJO",IF(N9&lt;$F9,"AMARILLO","VERDE")),IF(ABS(N9)&gt;$G9,"ROJO",IF(ABS(N9)&gt;$F9,"AMARILLO","VERDE")))))</f>
        <v/>
      </c>
      <c r="AA9" s="13">
        <f>IF(O9="","SIN DATO",IF($E9="mayor",IF(O9&gt;$G9,"ROJO",IF(O9&gt;$F9,"AMARILLO","VERDE")),IF($E9="menor",IF(O9&lt;$G9,"ROJO",IF(O9&lt;$F9,"AMARILLO","VERDE")),IF(ABS(O9)&gt;$G9,"ROJO",IF(ABS(O9)&gt;$F9,"AMARILLO","VERDE")))))</f>
        <v/>
      </c>
      <c r="AB9" s="13">
        <f>IF(P9="","SIN DATO",IF($E9="mayor",IF(P9&gt;$G9,"ROJO",IF(P9&gt;$F9,"AMARILLO","VERDE")),IF($E9="menor",IF(P9&lt;$G9,"ROJO",IF(P9&lt;$F9,"AMARILLO","VERDE")),IF(ABS(P9)&gt;$G9,"ROJO",IF(ABS(P9)&gt;$F9,"AMARILLO","VERDE")))))</f>
        <v/>
      </c>
      <c r="AC9" s="13">
        <f>IF(Q9="","SIN DATO",IF($E9="mayor",IF(Q9&gt;$G9,"ROJO",IF(Q9&gt;$F9,"AMARILLO","VERDE")),IF($E9="menor",IF(Q9&lt;$G9,"ROJO",IF(Q9&lt;$F9,"AMARILLO","VERDE")),IF(ABS(Q9)&gt;$G9,"ROJO",IF(ABS(Q9)&gt;$F9,"AMARILLO","VERDE")))))</f>
        <v/>
      </c>
      <c r="AD9" s="13">
        <f>IF(R9="","SIN DATO",IF($E9="mayor",IF(R9&gt;$G9,"ROJO",IF(R9&gt;$F9,"AMARILLO","VERDE")),IF($E9="menor",IF(R9&lt;$G9,"ROJO",IF(R9&lt;$F9,"AMARILLO","VERDE")),IF(ABS(R9)&gt;$G9,"ROJO",IF(ABS(R9)&gt;$F9,"AMARILLO","VERDE")))))</f>
        <v/>
      </c>
      <c r="AE9" s="13">
        <f>IF(S9="","SIN DATO",IF($E9="mayor",IF(S9&gt;$G9,"ROJO",IF(S9&gt;$F9,"AMARILLO","VERDE")),IF($E9="menor",IF(S9&lt;$G9,"ROJO",IF(S9&lt;$F9,"AMARILLO","VERDE")),IF(ABS(S9)&gt;$G9,"ROJO",IF(ABS(S9)&gt;$F9,"AMARILLO","VERDE")))))</f>
        <v/>
      </c>
      <c r="AF9" s="13">
        <f>IF(T9="","SIN DATO",IF($E9="mayor",IF(T9&gt;$G9,"ROJO",IF(T9&gt;$F9,"AMARILLO","VERDE")),IF($E9="menor",IF(T9&lt;$G9,"ROJO",IF(T9&lt;$F9,"AMARILLO","VERDE")),IF(ABS(T9)&gt;$G9,"ROJO",IF(ABS(T9)&gt;$F9,"AMARILLO","VERDE")))))</f>
        <v/>
      </c>
      <c r="AG9" s="13">
        <f>IF(U9="","SIN DATO",IF($E9="mayor",IF(U9&gt;$G9,"ROJO",IF(U9&gt;$F9,"AMARILLO","VERDE")),IF($E9="menor",IF(U9&lt;$G9,"ROJO",IF(U9&lt;$F9,"AMARILLO","VERDE")),IF(ABS(U9)&gt;$G9,"ROJO",IF(ABS(U9)&gt;$F9,"AMARILLO","VERDE")))))</f>
        <v/>
      </c>
      <c r="AH9" s="13">
        <f>IF(V9="","SIN DATO",IF($E9="mayor",IF(V9&gt;$G9,"ROJO",IF(V9&gt;$F9,"AMARILLO","VERDE")),IF($E9="menor",IF(V9&lt;$G9,"ROJO",IF(V9&lt;$F9,"AMARILLO","VERDE")),IF(ABS(V9)&gt;$G9,"ROJO",IF(ABS(V9)&gt;$F9,"AMARILLO","VERDE")))))</f>
        <v/>
      </c>
      <c r="AI9" s="13">
        <f>IF(W9="","SIN DATO",IF($E9="mayor",IF(W9&gt;$G9,"ROJO",IF(W9&gt;$F9,"AMARILLO","VERDE")),IF($E9="menor",IF(W9&lt;$G9,"ROJO",IF(W9&lt;$F9,"AMARILLO","VERDE")),IF(ABS(W9)&gt;$G9,"ROJO",IF(ABS(W9)&gt;$F9,"AMARILLO","VERDE")))))</f>
        <v/>
      </c>
      <c r="AJ9" s="13">
        <f>IF(X9="","SIN DATO",IF($E9="mayor",IF(X9&gt;$G9,"ROJO",IF(X9&gt;$F9,"AMARILLO","VERDE")),IF($E9="menor",IF(X9&lt;$G9,"ROJO",IF(X9&lt;$F9,"AMARILLO","VERDE")),IF(ABS(X9)&gt;$G9,"ROJO",IF(ABS(X9)&gt;$F9,"AMARILLO","VERDE")))))</f>
        <v/>
      </c>
      <c r="AK9" s="13">
        <f>IF(Y9="","SIN DATO",IF($E9="mayor",IF(Y9&gt;$G9,"ROJO",IF(Y9&gt;$F9,"AMARILLO","VERDE")),IF($E9="menor",IF(Y9&lt;$G9,"ROJO",IF(Y9&lt;$F9,"AMARILLO","VERDE")),IF(ABS(Y9)&gt;$G9,"ROJO",IF(ABS(Y9)&gt;$F9,"AMARILLO","VERDE")))))</f>
        <v/>
      </c>
      <c r="AL9" s="14">
        <f>IF(INDEX(N9:Y9,1,$C$3)="","—",INDEX(N9:Y9,1,$C$3))</f>
        <v/>
      </c>
      <c r="AM9" s="13">
        <f>INDEX(Z9:AK9,1,$C$3)</f>
        <v/>
      </c>
      <c r="AN9" s="13">
        <f>IF($C$3-M9&lt;1,"SIN DATO",INDEX(Z9:AK9,1,$C$3-M9))</f>
        <v/>
      </c>
      <c r="AO9" s="13">
        <f>IF(AND(OR(AM9="AMARILLO",AM9="ROJO"),OR(AN9="AMARILLO",AN9="ROJO")),"SÍ","no")</f>
        <v/>
      </c>
      <c r="AP9" s="13">
        <f>IF(AM9="ROJO","SÍ","no")</f>
        <v/>
      </c>
    </row>
    <row r="10">
      <c r="A10" s="9" t="inlineStr">
        <is>
          <t>N1</t>
        </is>
      </c>
      <c r="B10" s="9" t="inlineStr">
        <is>
          <t>negocio</t>
        </is>
      </c>
      <c r="C10" s="9" t="inlineStr">
        <is>
          <t>Tasa de aprobación (desvío en pts vs plan)</t>
        </is>
      </c>
      <c r="D10" s="9" t="inlineStr">
        <is>
          <t>Aprobados / solicitudes menos la aprobación esperada con el cutoff vigente</t>
        </is>
      </c>
      <c r="E10" s="10" t="inlineStr">
        <is>
          <t>bilateral</t>
        </is>
      </c>
      <c r="F10" s="10" t="n">
        <v>5</v>
      </c>
      <c r="G10" s="10" t="n">
        <v>10</v>
      </c>
      <c r="H10" s="9" t="inlineStr">
        <is>
          <t>Mensual</t>
        </is>
      </c>
      <c r="I10" s="9" t="n">
        <v>0</v>
      </c>
      <c r="J10" s="9" t="inlineStr">
        <is>
          <t>Gerencia de Crédito</t>
        </is>
      </c>
      <c r="K10" s="9" t="inlineStr">
        <is>
          <t>Explicar desvío (mix, política, canal)</t>
        </is>
      </c>
      <c r="L10" s="9" t="inlineStr">
        <is>
          <t>Comité de Crédito revisa política</t>
        </is>
      </c>
      <c r="M10" s="11" t="n">
        <v>1</v>
      </c>
      <c r="N10" s="12" t="n">
        <v>0.5</v>
      </c>
      <c r="O10" s="12" t="n">
        <v>-0.8</v>
      </c>
      <c r="P10" s="12" t="n">
        <v>1.2</v>
      </c>
      <c r="Q10" s="12" t="n">
        <v>-0.4</v>
      </c>
      <c r="R10" s="12" t="n">
        <v>0.9</v>
      </c>
      <c r="S10" s="12" t="n">
        <v>-1.5</v>
      </c>
      <c r="T10" s="12" t="n">
        <v>-0.7</v>
      </c>
      <c r="U10" s="12" t="n">
        <v>-1.9</v>
      </c>
      <c r="V10" s="12" t="n">
        <v>-2.1</v>
      </c>
      <c r="W10" s="12" t="n">
        <v>-2.4</v>
      </c>
      <c r="X10" s="12" t="n">
        <v>-2.8</v>
      </c>
      <c r="Y10" s="12" t="n">
        <v>-3.1</v>
      </c>
      <c r="Z10" s="13">
        <f>IF(N10="","SIN DATO",IF($E10="mayor",IF(N10&gt;$G10,"ROJO",IF(N10&gt;$F10,"AMARILLO","VERDE")),IF($E10="menor",IF(N10&lt;$G10,"ROJO",IF(N10&lt;$F10,"AMARILLO","VERDE")),IF(ABS(N10)&gt;$G10,"ROJO",IF(ABS(N10)&gt;$F10,"AMARILLO","VERDE")))))</f>
        <v/>
      </c>
      <c r="AA10" s="13">
        <f>IF(O10="","SIN DATO",IF($E10="mayor",IF(O10&gt;$G10,"ROJO",IF(O10&gt;$F10,"AMARILLO","VERDE")),IF($E10="menor",IF(O10&lt;$G10,"ROJO",IF(O10&lt;$F10,"AMARILLO","VERDE")),IF(ABS(O10)&gt;$G10,"ROJO",IF(ABS(O10)&gt;$F10,"AMARILLO","VERDE")))))</f>
        <v/>
      </c>
      <c r="AB10" s="13">
        <f>IF(P10="","SIN DATO",IF($E10="mayor",IF(P10&gt;$G10,"ROJO",IF(P10&gt;$F10,"AMARILLO","VERDE")),IF($E10="menor",IF(P10&lt;$G10,"ROJO",IF(P10&lt;$F10,"AMARILLO","VERDE")),IF(ABS(P10)&gt;$G10,"ROJO",IF(ABS(P10)&gt;$F10,"AMARILLO","VERDE")))))</f>
        <v/>
      </c>
      <c r="AC10" s="13">
        <f>IF(Q10="","SIN DATO",IF($E10="mayor",IF(Q10&gt;$G10,"ROJO",IF(Q10&gt;$F10,"AMARILLO","VERDE")),IF($E10="menor",IF(Q10&lt;$G10,"ROJO",IF(Q10&lt;$F10,"AMARILLO","VERDE")),IF(ABS(Q10)&gt;$G10,"ROJO",IF(ABS(Q10)&gt;$F10,"AMARILLO","VERDE")))))</f>
        <v/>
      </c>
      <c r="AD10" s="13">
        <f>IF(R10="","SIN DATO",IF($E10="mayor",IF(R10&gt;$G10,"ROJO",IF(R10&gt;$F10,"AMARILLO","VERDE")),IF($E10="menor",IF(R10&lt;$G10,"ROJO",IF(R10&lt;$F10,"AMARILLO","VERDE")),IF(ABS(R10)&gt;$G10,"ROJO",IF(ABS(R10)&gt;$F10,"AMARILLO","VERDE")))))</f>
        <v/>
      </c>
      <c r="AE10" s="13">
        <f>IF(S10="","SIN DATO",IF($E10="mayor",IF(S10&gt;$G10,"ROJO",IF(S10&gt;$F10,"AMARILLO","VERDE")),IF($E10="menor",IF(S10&lt;$G10,"ROJO",IF(S10&lt;$F10,"AMARILLO","VERDE")),IF(ABS(S10)&gt;$G10,"ROJO",IF(ABS(S10)&gt;$F10,"AMARILLO","VERDE")))))</f>
        <v/>
      </c>
      <c r="AF10" s="13">
        <f>IF(T10="","SIN DATO",IF($E10="mayor",IF(T10&gt;$G10,"ROJO",IF(T10&gt;$F10,"AMARILLO","VERDE")),IF($E10="menor",IF(T10&lt;$G10,"ROJO",IF(T10&lt;$F10,"AMARILLO","VERDE")),IF(ABS(T10)&gt;$G10,"ROJO",IF(ABS(T10)&gt;$F10,"AMARILLO","VERDE")))))</f>
        <v/>
      </c>
      <c r="AG10" s="13">
        <f>IF(U10="","SIN DATO",IF($E10="mayor",IF(U10&gt;$G10,"ROJO",IF(U10&gt;$F10,"AMARILLO","VERDE")),IF($E10="menor",IF(U10&lt;$G10,"ROJO",IF(U10&lt;$F10,"AMARILLO","VERDE")),IF(ABS(U10)&gt;$G10,"ROJO",IF(ABS(U10)&gt;$F10,"AMARILLO","VERDE")))))</f>
        <v/>
      </c>
      <c r="AH10" s="13">
        <f>IF(V10="","SIN DATO",IF($E10="mayor",IF(V10&gt;$G10,"ROJO",IF(V10&gt;$F10,"AMARILLO","VERDE")),IF($E10="menor",IF(V10&lt;$G10,"ROJO",IF(V10&lt;$F10,"AMARILLO","VERDE")),IF(ABS(V10)&gt;$G10,"ROJO",IF(ABS(V10)&gt;$F10,"AMARILLO","VERDE")))))</f>
        <v/>
      </c>
      <c r="AI10" s="13">
        <f>IF(W10="","SIN DATO",IF($E10="mayor",IF(W10&gt;$G10,"ROJO",IF(W10&gt;$F10,"AMARILLO","VERDE")),IF($E10="menor",IF(W10&lt;$G10,"ROJO",IF(W10&lt;$F10,"AMARILLO","VERDE")),IF(ABS(W10)&gt;$G10,"ROJO",IF(ABS(W10)&gt;$F10,"AMARILLO","VERDE")))))</f>
        <v/>
      </c>
      <c r="AJ10" s="13">
        <f>IF(X10="","SIN DATO",IF($E10="mayor",IF(X10&gt;$G10,"ROJO",IF(X10&gt;$F10,"AMARILLO","VERDE")),IF($E10="menor",IF(X10&lt;$G10,"ROJO",IF(X10&lt;$F10,"AMARILLO","VERDE")),IF(ABS(X10)&gt;$G10,"ROJO",IF(ABS(X10)&gt;$F10,"AMARILLO","VERDE")))))</f>
        <v/>
      </c>
      <c r="AK10" s="13">
        <f>IF(Y10="","SIN DATO",IF($E10="mayor",IF(Y10&gt;$G10,"ROJO",IF(Y10&gt;$F10,"AMARILLO","VERDE")),IF($E10="menor",IF(Y10&lt;$G10,"ROJO",IF(Y10&lt;$F10,"AMARILLO","VERDE")),IF(ABS(Y10)&gt;$G10,"ROJO",IF(ABS(Y10)&gt;$F10,"AMARILLO","VERDE")))))</f>
        <v/>
      </c>
      <c r="AL10" s="14">
        <f>IF(INDEX(N10:Y10,1,$C$3)="","—",INDEX(N10:Y10,1,$C$3))</f>
        <v/>
      </c>
      <c r="AM10" s="13">
        <f>INDEX(Z10:AK10,1,$C$3)</f>
        <v/>
      </c>
      <c r="AN10" s="13">
        <f>IF($C$3-M10&lt;1,"SIN DATO",INDEX(Z10:AK10,1,$C$3-M10))</f>
        <v/>
      </c>
      <c r="AO10" s="13">
        <f>IF(AND(OR(AM10="AMARILLO",AM10="ROJO"),OR(AN10="AMARILLO",AN10="ROJO")),"SÍ","no")</f>
        <v/>
      </c>
      <c r="AP10" s="13">
        <f>IF(AM10="ROJO","SÍ","no")</f>
        <v/>
      </c>
    </row>
    <row r="11">
      <c r="A11" s="9" t="inlineStr">
        <is>
          <t>N2</t>
        </is>
      </c>
      <c r="B11" s="9" t="inlineStr">
        <is>
          <t>negocio</t>
        </is>
      </c>
      <c r="C11" s="9" t="inlineStr">
        <is>
          <t>Override rate (% de rechazados aprobados)</t>
        </is>
      </c>
      <c r="D11" s="9" t="inlineStr">
        <is>
          <t>Aprobaciones por excepción / rechazados por score</t>
        </is>
      </c>
      <c r="E11" s="10" t="inlineStr">
        <is>
          <t>mayor</t>
        </is>
      </c>
      <c r="F11" s="10" t="n">
        <v>15</v>
      </c>
      <c r="G11" s="10" t="n">
        <v>25</v>
      </c>
      <c r="H11" s="9" t="inlineStr">
        <is>
          <t>Mensual</t>
        </is>
      </c>
      <c r="I11" s="9" t="n">
        <v>0</v>
      </c>
      <c r="J11" s="9" t="inlineStr">
        <is>
          <t>Gerencia de Crédito</t>
        </is>
      </c>
      <c r="K11" s="9" t="inlineStr">
        <is>
          <t>Auditar overrides por gestor y motivo</t>
        </is>
      </c>
      <c r="L11" s="9" t="inlineStr">
        <is>
          <t>Límite de overrides; revisión de facultades</t>
        </is>
      </c>
      <c r="M11" s="11" t="n">
        <v>1</v>
      </c>
      <c r="N11" s="12" t="n">
        <v>8</v>
      </c>
      <c r="O11" s="12" t="n">
        <v>9</v>
      </c>
      <c r="P11" s="12" t="n">
        <v>7</v>
      </c>
      <c r="Q11" s="12" t="n">
        <v>10</v>
      </c>
      <c r="R11" s="12" t="n">
        <v>9</v>
      </c>
      <c r="S11" s="12" t="n">
        <v>11</v>
      </c>
      <c r="T11" s="12" t="n">
        <v>10</v>
      </c>
      <c r="U11" s="12" t="n">
        <v>12</v>
      </c>
      <c r="V11" s="12" t="n">
        <v>11</v>
      </c>
      <c r="W11" s="12" t="n">
        <v>13</v>
      </c>
      <c r="X11" s="12" t="n">
        <v>12</v>
      </c>
      <c r="Y11" s="12" t="n">
        <v>12</v>
      </c>
      <c r="Z11" s="13">
        <f>IF(N11="","SIN DATO",IF($E11="mayor",IF(N11&gt;$G11,"ROJO",IF(N11&gt;$F11,"AMARILLO","VERDE")),IF($E11="menor",IF(N11&lt;$G11,"ROJO",IF(N11&lt;$F11,"AMARILLO","VERDE")),IF(ABS(N11)&gt;$G11,"ROJO",IF(ABS(N11)&gt;$F11,"AMARILLO","VERDE")))))</f>
        <v/>
      </c>
      <c r="AA11" s="13">
        <f>IF(O11="","SIN DATO",IF($E11="mayor",IF(O11&gt;$G11,"ROJO",IF(O11&gt;$F11,"AMARILLO","VERDE")),IF($E11="menor",IF(O11&lt;$G11,"ROJO",IF(O11&lt;$F11,"AMARILLO","VERDE")),IF(ABS(O11)&gt;$G11,"ROJO",IF(ABS(O11)&gt;$F11,"AMARILLO","VERDE")))))</f>
        <v/>
      </c>
      <c r="AB11" s="13">
        <f>IF(P11="","SIN DATO",IF($E11="mayor",IF(P11&gt;$G11,"ROJO",IF(P11&gt;$F11,"AMARILLO","VERDE")),IF($E11="menor",IF(P11&lt;$G11,"ROJO",IF(P11&lt;$F11,"AMARILLO","VERDE")),IF(ABS(P11)&gt;$G11,"ROJO",IF(ABS(P11)&gt;$F11,"AMARILLO","VERDE")))))</f>
        <v/>
      </c>
      <c r="AC11" s="13">
        <f>IF(Q11="","SIN DATO",IF($E11="mayor",IF(Q11&gt;$G11,"ROJO",IF(Q11&gt;$F11,"AMARILLO","VERDE")),IF($E11="menor",IF(Q11&lt;$G11,"ROJO",IF(Q11&lt;$F11,"AMARILLO","VERDE")),IF(ABS(Q11)&gt;$G11,"ROJO",IF(ABS(Q11)&gt;$F11,"AMARILLO","VERDE")))))</f>
        <v/>
      </c>
      <c r="AD11" s="13">
        <f>IF(R11="","SIN DATO",IF($E11="mayor",IF(R11&gt;$G11,"ROJO",IF(R11&gt;$F11,"AMARILLO","VERDE")),IF($E11="menor",IF(R11&lt;$G11,"ROJO",IF(R11&lt;$F11,"AMARILLO","VERDE")),IF(ABS(R11)&gt;$G11,"ROJO",IF(ABS(R11)&gt;$F11,"AMARILLO","VERDE")))))</f>
        <v/>
      </c>
      <c r="AE11" s="13">
        <f>IF(S11="","SIN DATO",IF($E11="mayor",IF(S11&gt;$G11,"ROJO",IF(S11&gt;$F11,"AMARILLO","VERDE")),IF($E11="menor",IF(S11&lt;$G11,"ROJO",IF(S11&lt;$F11,"AMARILLO","VERDE")),IF(ABS(S11)&gt;$G11,"ROJO",IF(ABS(S11)&gt;$F11,"AMARILLO","VERDE")))))</f>
        <v/>
      </c>
      <c r="AF11" s="13">
        <f>IF(T11="","SIN DATO",IF($E11="mayor",IF(T11&gt;$G11,"ROJO",IF(T11&gt;$F11,"AMARILLO","VERDE")),IF($E11="menor",IF(T11&lt;$G11,"ROJO",IF(T11&lt;$F11,"AMARILLO","VERDE")),IF(ABS(T11)&gt;$G11,"ROJO",IF(ABS(T11)&gt;$F11,"AMARILLO","VERDE")))))</f>
        <v/>
      </c>
      <c r="AG11" s="13">
        <f>IF(U11="","SIN DATO",IF($E11="mayor",IF(U11&gt;$G11,"ROJO",IF(U11&gt;$F11,"AMARILLO","VERDE")),IF($E11="menor",IF(U11&lt;$G11,"ROJO",IF(U11&lt;$F11,"AMARILLO","VERDE")),IF(ABS(U11)&gt;$G11,"ROJO",IF(ABS(U11)&gt;$F11,"AMARILLO","VERDE")))))</f>
        <v/>
      </c>
      <c r="AH11" s="13">
        <f>IF(V11="","SIN DATO",IF($E11="mayor",IF(V11&gt;$G11,"ROJO",IF(V11&gt;$F11,"AMARILLO","VERDE")),IF($E11="menor",IF(V11&lt;$G11,"ROJO",IF(V11&lt;$F11,"AMARILLO","VERDE")),IF(ABS(V11)&gt;$G11,"ROJO",IF(ABS(V11)&gt;$F11,"AMARILLO","VERDE")))))</f>
        <v/>
      </c>
      <c r="AI11" s="13">
        <f>IF(W11="","SIN DATO",IF($E11="mayor",IF(W11&gt;$G11,"ROJO",IF(W11&gt;$F11,"AMARILLO","VERDE")),IF($E11="menor",IF(W11&lt;$G11,"ROJO",IF(W11&lt;$F11,"AMARILLO","VERDE")),IF(ABS(W11)&gt;$G11,"ROJO",IF(ABS(W11)&gt;$F11,"AMARILLO","VERDE")))))</f>
        <v/>
      </c>
      <c r="AJ11" s="13">
        <f>IF(X11="","SIN DATO",IF($E11="mayor",IF(X11&gt;$G11,"ROJO",IF(X11&gt;$F11,"AMARILLO","VERDE")),IF($E11="menor",IF(X11&lt;$G11,"ROJO",IF(X11&lt;$F11,"AMARILLO","VERDE")),IF(ABS(X11)&gt;$G11,"ROJO",IF(ABS(X11)&gt;$F11,"AMARILLO","VERDE")))))</f>
        <v/>
      </c>
      <c r="AK11" s="13">
        <f>IF(Y11="","SIN DATO",IF($E11="mayor",IF(Y11&gt;$G11,"ROJO",IF(Y11&gt;$F11,"AMARILLO","VERDE")),IF($E11="menor",IF(Y11&lt;$G11,"ROJO",IF(Y11&lt;$F11,"AMARILLO","VERDE")),IF(ABS(Y11)&gt;$G11,"ROJO",IF(ABS(Y11)&gt;$F11,"AMARILLO","VERDE")))))</f>
        <v/>
      </c>
      <c r="AL11" s="14">
        <f>IF(INDEX(N11:Y11,1,$C$3)="","—",INDEX(N11:Y11,1,$C$3))</f>
        <v/>
      </c>
      <c r="AM11" s="13">
        <f>INDEX(Z11:AK11,1,$C$3)</f>
        <v/>
      </c>
      <c r="AN11" s="13">
        <f>IF($C$3-M11&lt;1,"SIN DATO",INDEX(Z11:AK11,1,$C$3-M11))</f>
        <v/>
      </c>
      <c r="AO11" s="13">
        <f>IF(AND(OR(AM11="AMARILLO",AM11="ROJO"),OR(AN11="AMARILLO",AN11="ROJO")),"SÍ","no")</f>
        <v/>
      </c>
      <c r="AP11" s="13">
        <f>IF(AM11="ROJO","SÍ","no")</f>
        <v/>
      </c>
    </row>
    <row r="12">
      <c r="A12" s="9" t="inlineStr">
        <is>
          <t>A1</t>
        </is>
      </c>
      <c r="B12" s="9" t="inlineStr">
        <is>
          <t>adelantado</t>
        </is>
      </c>
      <c r="C12" s="9" t="inlineStr">
        <is>
          <t>Mora 30+ a MOB3 vs esperada: p bilateral</t>
        </is>
      </c>
      <c r="D12" s="9" t="inlineStr">
        <is>
          <t>Poisson-binomial: z = (O−E)/√V con E del modelo satélite; p = 2·(1−Φ(|z|)); cosecha de hace 3 meses</t>
        </is>
      </c>
      <c r="E12" s="10" t="inlineStr">
        <is>
          <t>menor</t>
        </is>
      </c>
      <c r="F12" s="10" t="n">
        <v>0.05</v>
      </c>
      <c r="G12" s="10" t="n">
        <v>0.01</v>
      </c>
      <c r="H12" s="9" t="inlineStr">
        <is>
          <t>Mensual</t>
        </is>
      </c>
      <c r="I12" s="9" t="n">
        <v>3</v>
      </c>
      <c r="J12" s="9" t="inlineStr">
        <is>
          <t>Modelador</t>
        </is>
      </c>
      <c r="K12" s="9" t="inlineStr">
        <is>
          <t>Vigilancia reforzada; CUSUM de la serie</t>
        </is>
      </c>
      <c r="L12" s="9" t="inlineStr">
        <is>
          <t>Análisis por banda y cosecha; preparar recalibración</t>
        </is>
      </c>
      <c r="M12" s="11" t="n">
        <v>1</v>
      </c>
      <c r="N12" s="12" t="n">
        <v>0.61</v>
      </c>
      <c r="O12" s="12" t="n">
        <v>0.44</v>
      </c>
      <c r="P12" s="12" t="n">
        <v>0.72</v>
      </c>
      <c r="Q12" s="12" t="n">
        <v>0.35</v>
      </c>
      <c r="R12" s="12" t="n">
        <v>0.52</v>
      </c>
      <c r="S12" s="12" t="n">
        <v>0.28</v>
      </c>
      <c r="T12" s="12" t="n">
        <v>0.19</v>
      </c>
      <c r="U12" s="12" t="n">
        <v>0.33</v>
      </c>
      <c r="V12" s="12" t="n">
        <v>0.12</v>
      </c>
      <c r="W12" s="12" t="n">
        <v>0.08</v>
      </c>
      <c r="X12" s="12" t="n">
        <v>0.06</v>
      </c>
      <c r="Y12" s="12" t="n">
        <v>0.04</v>
      </c>
      <c r="Z12" s="13">
        <f>IF(N12="","SIN DATO",IF($E12="mayor",IF(N12&gt;$G12,"ROJO",IF(N12&gt;$F12,"AMARILLO","VERDE")),IF($E12="menor",IF(N12&lt;$G12,"ROJO",IF(N12&lt;$F12,"AMARILLO","VERDE")),IF(ABS(N12)&gt;$G12,"ROJO",IF(ABS(N12)&gt;$F12,"AMARILLO","VERDE")))))</f>
        <v/>
      </c>
      <c r="AA12" s="13">
        <f>IF(O12="","SIN DATO",IF($E12="mayor",IF(O12&gt;$G12,"ROJO",IF(O12&gt;$F12,"AMARILLO","VERDE")),IF($E12="menor",IF(O12&lt;$G12,"ROJO",IF(O12&lt;$F12,"AMARILLO","VERDE")),IF(ABS(O12)&gt;$G12,"ROJO",IF(ABS(O12)&gt;$F12,"AMARILLO","VERDE")))))</f>
        <v/>
      </c>
      <c r="AB12" s="13">
        <f>IF(P12="","SIN DATO",IF($E12="mayor",IF(P12&gt;$G12,"ROJO",IF(P12&gt;$F12,"AMARILLO","VERDE")),IF($E12="menor",IF(P12&lt;$G12,"ROJO",IF(P12&lt;$F12,"AMARILLO","VERDE")),IF(ABS(P12)&gt;$G12,"ROJO",IF(ABS(P12)&gt;$F12,"AMARILLO","VERDE")))))</f>
        <v/>
      </c>
      <c r="AC12" s="13">
        <f>IF(Q12="","SIN DATO",IF($E12="mayor",IF(Q12&gt;$G12,"ROJO",IF(Q12&gt;$F12,"AMARILLO","VERDE")),IF($E12="menor",IF(Q12&lt;$G12,"ROJO",IF(Q12&lt;$F12,"AMARILLO","VERDE")),IF(ABS(Q12)&gt;$G12,"ROJO",IF(ABS(Q12)&gt;$F12,"AMARILLO","VERDE")))))</f>
        <v/>
      </c>
      <c r="AD12" s="13">
        <f>IF(R12="","SIN DATO",IF($E12="mayor",IF(R12&gt;$G12,"ROJO",IF(R12&gt;$F12,"AMARILLO","VERDE")),IF($E12="menor",IF(R12&lt;$G12,"ROJO",IF(R12&lt;$F12,"AMARILLO","VERDE")),IF(ABS(R12)&gt;$G12,"ROJO",IF(ABS(R12)&gt;$F12,"AMARILLO","VERDE")))))</f>
        <v/>
      </c>
      <c r="AE12" s="13">
        <f>IF(S12="","SIN DATO",IF($E12="mayor",IF(S12&gt;$G12,"ROJO",IF(S12&gt;$F12,"AMARILLO","VERDE")),IF($E12="menor",IF(S12&lt;$G12,"ROJO",IF(S12&lt;$F12,"AMARILLO","VERDE")),IF(ABS(S12)&gt;$G12,"ROJO",IF(ABS(S12)&gt;$F12,"AMARILLO","VERDE")))))</f>
        <v/>
      </c>
      <c r="AF12" s="13">
        <f>IF(T12="","SIN DATO",IF($E12="mayor",IF(T12&gt;$G12,"ROJO",IF(T12&gt;$F12,"AMARILLO","VERDE")),IF($E12="menor",IF(T12&lt;$G12,"ROJO",IF(T12&lt;$F12,"AMARILLO","VERDE")),IF(ABS(T12)&gt;$G12,"ROJO",IF(ABS(T12)&gt;$F12,"AMARILLO","VERDE")))))</f>
        <v/>
      </c>
      <c r="AG12" s="13">
        <f>IF(U12="","SIN DATO",IF($E12="mayor",IF(U12&gt;$G12,"ROJO",IF(U12&gt;$F12,"AMARILLO","VERDE")),IF($E12="menor",IF(U12&lt;$G12,"ROJO",IF(U12&lt;$F12,"AMARILLO","VERDE")),IF(ABS(U12)&gt;$G12,"ROJO",IF(ABS(U12)&gt;$F12,"AMARILLO","VERDE")))))</f>
        <v/>
      </c>
      <c r="AH12" s="13">
        <f>IF(V12="","SIN DATO",IF($E12="mayor",IF(V12&gt;$G12,"ROJO",IF(V12&gt;$F12,"AMARILLO","VERDE")),IF($E12="menor",IF(V12&lt;$G12,"ROJO",IF(V12&lt;$F12,"AMARILLO","VERDE")),IF(ABS(V12)&gt;$G12,"ROJO",IF(ABS(V12)&gt;$F12,"AMARILLO","VERDE")))))</f>
        <v/>
      </c>
      <c r="AI12" s="13">
        <f>IF(W12="","SIN DATO",IF($E12="mayor",IF(W12&gt;$G12,"ROJO",IF(W12&gt;$F12,"AMARILLO","VERDE")),IF($E12="menor",IF(W12&lt;$G12,"ROJO",IF(W12&lt;$F12,"AMARILLO","VERDE")),IF(ABS(W12)&gt;$G12,"ROJO",IF(ABS(W12)&gt;$F12,"AMARILLO","VERDE")))))</f>
        <v/>
      </c>
      <c r="AJ12" s="13">
        <f>IF(X12="","SIN DATO",IF($E12="mayor",IF(X12&gt;$G12,"ROJO",IF(X12&gt;$F12,"AMARILLO","VERDE")),IF($E12="menor",IF(X12&lt;$G12,"ROJO",IF(X12&lt;$F12,"AMARILLO","VERDE")),IF(ABS(X12)&gt;$G12,"ROJO",IF(ABS(X12)&gt;$F12,"AMARILLO","VERDE")))))</f>
        <v/>
      </c>
      <c r="AK12" s="13">
        <f>IF(Y12="","SIN DATO",IF($E12="mayor",IF(Y12&gt;$G12,"ROJO",IF(Y12&gt;$F12,"AMARILLO","VERDE")),IF($E12="menor",IF(Y12&lt;$G12,"ROJO",IF(Y12&lt;$F12,"AMARILLO","VERDE")),IF(ABS(Y12)&gt;$G12,"ROJO",IF(ABS(Y12)&gt;$F12,"AMARILLO","VERDE")))))</f>
        <v/>
      </c>
      <c r="AL12" s="14">
        <f>IF(INDEX(N12:Y12,1,$C$3)="","—",INDEX(N12:Y12,1,$C$3))</f>
        <v/>
      </c>
      <c r="AM12" s="13">
        <f>INDEX(Z12:AK12,1,$C$3)</f>
        <v/>
      </c>
      <c r="AN12" s="13">
        <f>IF($C$3-M12&lt;1,"SIN DATO",INDEX(Z12:AK12,1,$C$3-M12))</f>
        <v/>
      </c>
      <c r="AO12" s="13">
        <f>IF(AND(OR(AM12="AMARILLO",AM12="ROJO"),OR(AN12="AMARILLO",AN12="ROJO")),"SÍ","no")</f>
        <v/>
      </c>
      <c r="AP12" s="13">
        <f>IF(AM12="ROJO","SÍ","no")</f>
        <v/>
      </c>
    </row>
    <row r="13">
      <c r="A13" s="9" t="inlineStr">
        <is>
          <t>A2</t>
        </is>
      </c>
      <c r="B13" s="9" t="inlineStr">
        <is>
          <t>adelantado</t>
        </is>
      </c>
      <c r="C13" s="9" t="inlineStr">
        <is>
          <t>Cosecha 90+ a MOB6 vs curva esperada: p</t>
        </is>
      </c>
      <c r="D13" s="9" t="inlineStr">
        <is>
          <t>Tasa 90+ acumulada a MOB6 de la cosecha de hace 6 meses contra 1−(1−PD)^F(6)</t>
        </is>
      </c>
      <c r="E13" s="10" t="inlineStr">
        <is>
          <t>menor</t>
        </is>
      </c>
      <c r="F13" s="10" t="n">
        <v>0.05</v>
      </c>
      <c r="G13" s="10" t="n">
        <v>0.01</v>
      </c>
      <c r="H13" s="9" t="inlineStr">
        <is>
          <t>Mensual</t>
        </is>
      </c>
      <c r="I13" s="9" t="n">
        <v>6</v>
      </c>
      <c r="J13" s="9" t="inlineStr">
        <is>
          <t>Modelador</t>
        </is>
      </c>
      <c r="K13" s="9" t="inlineStr">
        <is>
          <t>Vigilancia reforzada</t>
        </is>
      </c>
      <c r="L13" s="9" t="inlineStr">
        <is>
          <t>Análisis por cosecha; preparar recalibración</t>
        </is>
      </c>
      <c r="M13" s="11" t="n">
        <v>1</v>
      </c>
      <c r="N13" s="12" t="n">
        <v>0.7</v>
      </c>
      <c r="O13" s="12" t="n">
        <v>0.55</v>
      </c>
      <c r="P13" s="12" t="n">
        <v>0.48</v>
      </c>
      <c r="Q13" s="12" t="n">
        <v>0.66</v>
      </c>
      <c r="R13" s="12" t="n">
        <v>0.41</v>
      </c>
      <c r="S13" s="12" t="n">
        <v>0.37</v>
      </c>
      <c r="T13" s="12" t="n">
        <v>0.29</v>
      </c>
      <c r="U13" s="12" t="n">
        <v>0.31</v>
      </c>
      <c r="V13" s="12" t="n">
        <v>0.22</v>
      </c>
      <c r="W13" s="12" t="n">
        <v>0.18</v>
      </c>
      <c r="X13" s="12" t="n">
        <v>0.15</v>
      </c>
      <c r="Y13" s="12" t="n">
        <v>0.11</v>
      </c>
      <c r="Z13" s="13">
        <f>IF(N13="","SIN DATO",IF($E13="mayor",IF(N13&gt;$G13,"ROJO",IF(N13&gt;$F13,"AMARILLO","VERDE")),IF($E13="menor",IF(N13&lt;$G13,"ROJO",IF(N13&lt;$F13,"AMARILLO","VERDE")),IF(ABS(N13)&gt;$G13,"ROJO",IF(ABS(N13)&gt;$F13,"AMARILLO","VERDE")))))</f>
        <v/>
      </c>
      <c r="AA13" s="13">
        <f>IF(O13="","SIN DATO",IF($E13="mayor",IF(O13&gt;$G13,"ROJO",IF(O13&gt;$F13,"AMARILLO","VERDE")),IF($E13="menor",IF(O13&lt;$G13,"ROJO",IF(O13&lt;$F13,"AMARILLO","VERDE")),IF(ABS(O13)&gt;$G13,"ROJO",IF(ABS(O13)&gt;$F13,"AMARILLO","VERDE")))))</f>
        <v/>
      </c>
      <c r="AB13" s="13">
        <f>IF(P13="","SIN DATO",IF($E13="mayor",IF(P13&gt;$G13,"ROJO",IF(P13&gt;$F13,"AMARILLO","VERDE")),IF($E13="menor",IF(P13&lt;$G13,"ROJO",IF(P13&lt;$F13,"AMARILLO","VERDE")),IF(ABS(P13)&gt;$G13,"ROJO",IF(ABS(P13)&gt;$F13,"AMARILLO","VERDE")))))</f>
        <v/>
      </c>
      <c r="AC13" s="13">
        <f>IF(Q13="","SIN DATO",IF($E13="mayor",IF(Q13&gt;$G13,"ROJO",IF(Q13&gt;$F13,"AMARILLO","VERDE")),IF($E13="menor",IF(Q13&lt;$G13,"ROJO",IF(Q13&lt;$F13,"AMARILLO","VERDE")),IF(ABS(Q13)&gt;$G13,"ROJO",IF(ABS(Q13)&gt;$F13,"AMARILLO","VERDE")))))</f>
        <v/>
      </c>
      <c r="AD13" s="13">
        <f>IF(R13="","SIN DATO",IF($E13="mayor",IF(R13&gt;$G13,"ROJO",IF(R13&gt;$F13,"AMARILLO","VERDE")),IF($E13="menor",IF(R13&lt;$G13,"ROJO",IF(R13&lt;$F13,"AMARILLO","VERDE")),IF(ABS(R13)&gt;$G13,"ROJO",IF(ABS(R13)&gt;$F13,"AMARILLO","VERDE")))))</f>
        <v/>
      </c>
      <c r="AE13" s="13">
        <f>IF(S13="","SIN DATO",IF($E13="mayor",IF(S13&gt;$G13,"ROJO",IF(S13&gt;$F13,"AMARILLO","VERDE")),IF($E13="menor",IF(S13&lt;$G13,"ROJO",IF(S13&lt;$F13,"AMARILLO","VERDE")),IF(ABS(S13)&gt;$G13,"ROJO",IF(ABS(S13)&gt;$F13,"AMARILLO","VERDE")))))</f>
        <v/>
      </c>
      <c r="AF13" s="13">
        <f>IF(T13="","SIN DATO",IF($E13="mayor",IF(T13&gt;$G13,"ROJO",IF(T13&gt;$F13,"AMARILLO","VERDE")),IF($E13="menor",IF(T13&lt;$G13,"ROJO",IF(T13&lt;$F13,"AMARILLO","VERDE")),IF(ABS(T13)&gt;$G13,"ROJO",IF(ABS(T13)&gt;$F13,"AMARILLO","VERDE")))))</f>
        <v/>
      </c>
      <c r="AG13" s="13">
        <f>IF(U13="","SIN DATO",IF($E13="mayor",IF(U13&gt;$G13,"ROJO",IF(U13&gt;$F13,"AMARILLO","VERDE")),IF($E13="menor",IF(U13&lt;$G13,"ROJO",IF(U13&lt;$F13,"AMARILLO","VERDE")),IF(ABS(U13)&gt;$G13,"ROJO",IF(ABS(U13)&gt;$F13,"AMARILLO","VERDE")))))</f>
        <v/>
      </c>
      <c r="AH13" s="13">
        <f>IF(V13="","SIN DATO",IF($E13="mayor",IF(V13&gt;$G13,"ROJO",IF(V13&gt;$F13,"AMARILLO","VERDE")),IF($E13="menor",IF(V13&lt;$G13,"ROJO",IF(V13&lt;$F13,"AMARILLO","VERDE")),IF(ABS(V13)&gt;$G13,"ROJO",IF(ABS(V13)&gt;$F13,"AMARILLO","VERDE")))))</f>
        <v/>
      </c>
      <c r="AI13" s="13">
        <f>IF(W13="","SIN DATO",IF($E13="mayor",IF(W13&gt;$G13,"ROJO",IF(W13&gt;$F13,"AMARILLO","VERDE")),IF($E13="menor",IF(W13&lt;$G13,"ROJO",IF(W13&lt;$F13,"AMARILLO","VERDE")),IF(ABS(W13)&gt;$G13,"ROJO",IF(ABS(W13)&gt;$F13,"AMARILLO","VERDE")))))</f>
        <v/>
      </c>
      <c r="AJ13" s="13">
        <f>IF(X13="","SIN DATO",IF($E13="mayor",IF(X13&gt;$G13,"ROJO",IF(X13&gt;$F13,"AMARILLO","VERDE")),IF($E13="menor",IF(X13&lt;$G13,"ROJO",IF(X13&lt;$F13,"AMARILLO","VERDE")),IF(ABS(X13)&gt;$G13,"ROJO",IF(ABS(X13)&gt;$F13,"AMARILLO","VERDE")))))</f>
        <v/>
      </c>
      <c r="AK13" s="13">
        <f>IF(Y13="","SIN DATO",IF($E13="mayor",IF(Y13&gt;$G13,"ROJO",IF(Y13&gt;$F13,"AMARILLO","VERDE")),IF($E13="menor",IF(Y13&lt;$G13,"ROJO",IF(Y13&lt;$F13,"AMARILLO","VERDE")),IF(ABS(Y13)&gt;$G13,"ROJO",IF(ABS(Y13)&gt;$F13,"AMARILLO","VERDE")))))</f>
        <v/>
      </c>
      <c r="AL13" s="14">
        <f>IF(INDEX(N13:Y13,1,$C$3)="","—",INDEX(N13:Y13,1,$C$3))</f>
        <v/>
      </c>
      <c r="AM13" s="13">
        <f>INDEX(Z13:AK13,1,$C$3)</f>
        <v/>
      </c>
      <c r="AN13" s="13">
        <f>IF($C$3-M13&lt;1,"SIN DATO",INDEX(Z13:AK13,1,$C$3-M13))</f>
        <v/>
      </c>
      <c r="AO13" s="13">
        <f>IF(AND(OR(AM13="AMARILLO",AM13="ROJO"),OR(AN13="AMARILLO",AN13="ROJO")),"SÍ","no")</f>
        <v/>
      </c>
      <c r="AP13" s="13">
        <f>IF(AM13="ROJO","SÍ","no")</f>
        <v/>
      </c>
    </row>
    <row r="14">
      <c r="A14" s="9" t="inlineStr">
        <is>
          <t>O1</t>
        </is>
      </c>
      <c r="B14" s="9" t="inlineStr">
        <is>
          <t>orden</t>
        </is>
      </c>
      <c r="C14" s="9" t="inlineStr">
        <is>
          <t>Gini OOT: caída relativa vs DEV (%)</t>
        </is>
      </c>
      <c r="D14" s="9" t="inlineStr">
        <is>
          <t>1 − Gini_hoy / Gini_DEV (misma población: aprobados)</t>
        </is>
      </c>
      <c r="E14" s="10" t="inlineStr">
        <is>
          <t>mayor</t>
        </is>
      </c>
      <c r="F14" s="10" t="n">
        <v>20</v>
      </c>
      <c r="G14" s="10" t="n">
        <v>30</v>
      </c>
      <c r="H14" s="9" t="inlineStr">
        <is>
          <t>Trimestral</t>
        </is>
      </c>
      <c r="I14" s="9" t="n">
        <v>12</v>
      </c>
      <c r="J14" s="9" t="inlineStr">
        <is>
          <t>Modelador</t>
        </is>
      </c>
      <c r="K14" s="9" t="inlineStr">
        <is>
          <t>Bootstrap del Gini; revisar por segmento</t>
        </is>
      </c>
      <c r="L14" s="9" t="inlineStr">
        <is>
          <t>Gatillo de re-desarrollo (descartados datos y política)</t>
        </is>
      </c>
      <c r="M14" s="11" t="n">
        <v>3</v>
      </c>
      <c r="N14" s="12" t="n"/>
      <c r="O14" s="12" t="n"/>
      <c r="P14" s="12" t="n">
        <v>8.9</v>
      </c>
      <c r="Q14" s="12" t="n"/>
      <c r="R14" s="12" t="n"/>
      <c r="S14" s="12" t="n">
        <v>9.6</v>
      </c>
      <c r="T14" s="12" t="n"/>
      <c r="U14" s="12" t="n"/>
      <c r="V14" s="12" t="n">
        <v>10.1</v>
      </c>
      <c r="W14" s="12" t="n"/>
      <c r="X14" s="12" t="n"/>
      <c r="Y14" s="12" t="n">
        <v>10.8</v>
      </c>
      <c r="Z14" s="13">
        <f>IF(N14="","SIN DATO",IF($E14="mayor",IF(N14&gt;$G14,"ROJO",IF(N14&gt;$F14,"AMARILLO","VERDE")),IF($E14="menor",IF(N14&lt;$G14,"ROJO",IF(N14&lt;$F14,"AMARILLO","VERDE")),IF(ABS(N14)&gt;$G14,"ROJO",IF(ABS(N14)&gt;$F14,"AMARILLO","VERDE")))))</f>
        <v/>
      </c>
      <c r="AA14" s="13">
        <f>IF(O14="","SIN DATO",IF($E14="mayor",IF(O14&gt;$G14,"ROJO",IF(O14&gt;$F14,"AMARILLO","VERDE")),IF($E14="menor",IF(O14&lt;$G14,"ROJO",IF(O14&lt;$F14,"AMARILLO","VERDE")),IF(ABS(O14)&gt;$G14,"ROJO",IF(ABS(O14)&gt;$F14,"AMARILLO","VERDE")))))</f>
        <v/>
      </c>
      <c r="AB14" s="13">
        <f>IF(P14="","SIN DATO",IF($E14="mayor",IF(P14&gt;$G14,"ROJO",IF(P14&gt;$F14,"AMARILLO","VERDE")),IF($E14="menor",IF(P14&lt;$G14,"ROJO",IF(P14&lt;$F14,"AMARILLO","VERDE")),IF(ABS(P14)&gt;$G14,"ROJO",IF(ABS(P14)&gt;$F14,"AMARILLO","VERDE")))))</f>
        <v/>
      </c>
      <c r="AC14" s="13">
        <f>IF(Q14="","SIN DATO",IF($E14="mayor",IF(Q14&gt;$G14,"ROJO",IF(Q14&gt;$F14,"AMARILLO","VERDE")),IF($E14="menor",IF(Q14&lt;$G14,"ROJO",IF(Q14&lt;$F14,"AMARILLO","VERDE")),IF(ABS(Q14)&gt;$G14,"ROJO",IF(ABS(Q14)&gt;$F14,"AMARILLO","VERDE")))))</f>
        <v/>
      </c>
      <c r="AD14" s="13">
        <f>IF(R14="","SIN DATO",IF($E14="mayor",IF(R14&gt;$G14,"ROJO",IF(R14&gt;$F14,"AMARILLO","VERDE")),IF($E14="menor",IF(R14&lt;$G14,"ROJO",IF(R14&lt;$F14,"AMARILLO","VERDE")),IF(ABS(R14)&gt;$G14,"ROJO",IF(ABS(R14)&gt;$F14,"AMARILLO","VERDE")))))</f>
        <v/>
      </c>
      <c r="AE14" s="13">
        <f>IF(S14="","SIN DATO",IF($E14="mayor",IF(S14&gt;$G14,"ROJO",IF(S14&gt;$F14,"AMARILLO","VERDE")),IF($E14="menor",IF(S14&lt;$G14,"ROJO",IF(S14&lt;$F14,"AMARILLO","VERDE")),IF(ABS(S14)&gt;$G14,"ROJO",IF(ABS(S14)&gt;$F14,"AMARILLO","VERDE")))))</f>
        <v/>
      </c>
      <c r="AF14" s="13">
        <f>IF(T14="","SIN DATO",IF($E14="mayor",IF(T14&gt;$G14,"ROJO",IF(T14&gt;$F14,"AMARILLO","VERDE")),IF($E14="menor",IF(T14&lt;$G14,"ROJO",IF(T14&lt;$F14,"AMARILLO","VERDE")),IF(ABS(T14)&gt;$G14,"ROJO",IF(ABS(T14)&gt;$F14,"AMARILLO","VERDE")))))</f>
        <v/>
      </c>
      <c r="AG14" s="13">
        <f>IF(U14="","SIN DATO",IF($E14="mayor",IF(U14&gt;$G14,"ROJO",IF(U14&gt;$F14,"AMARILLO","VERDE")),IF($E14="menor",IF(U14&lt;$G14,"ROJO",IF(U14&lt;$F14,"AMARILLO","VERDE")),IF(ABS(U14)&gt;$G14,"ROJO",IF(ABS(U14)&gt;$F14,"AMARILLO","VERDE")))))</f>
        <v/>
      </c>
      <c r="AH14" s="13">
        <f>IF(V14="","SIN DATO",IF($E14="mayor",IF(V14&gt;$G14,"ROJO",IF(V14&gt;$F14,"AMARILLO","VERDE")),IF($E14="menor",IF(V14&lt;$G14,"ROJO",IF(V14&lt;$F14,"AMARILLO","VERDE")),IF(ABS(V14)&gt;$G14,"ROJO",IF(ABS(V14)&gt;$F14,"AMARILLO","VERDE")))))</f>
        <v/>
      </c>
      <c r="AI14" s="13">
        <f>IF(W14="","SIN DATO",IF($E14="mayor",IF(W14&gt;$G14,"ROJO",IF(W14&gt;$F14,"AMARILLO","VERDE")),IF($E14="menor",IF(W14&lt;$G14,"ROJO",IF(W14&lt;$F14,"AMARILLO","VERDE")),IF(ABS(W14)&gt;$G14,"ROJO",IF(ABS(W14)&gt;$F14,"AMARILLO","VERDE")))))</f>
        <v/>
      </c>
      <c r="AJ14" s="13">
        <f>IF(X14="","SIN DATO",IF($E14="mayor",IF(X14&gt;$G14,"ROJO",IF(X14&gt;$F14,"AMARILLO","VERDE")),IF($E14="menor",IF(X14&lt;$G14,"ROJO",IF(X14&lt;$F14,"AMARILLO","VERDE")),IF(ABS(X14)&gt;$G14,"ROJO",IF(ABS(X14)&gt;$F14,"AMARILLO","VERDE")))))</f>
        <v/>
      </c>
      <c r="AK14" s="13">
        <f>IF(Y14="","SIN DATO",IF($E14="mayor",IF(Y14&gt;$G14,"ROJO",IF(Y14&gt;$F14,"AMARILLO","VERDE")),IF($E14="menor",IF(Y14&lt;$G14,"ROJO",IF(Y14&lt;$F14,"AMARILLO","VERDE")),IF(ABS(Y14)&gt;$G14,"ROJO",IF(ABS(Y14)&gt;$F14,"AMARILLO","VERDE")))))</f>
        <v/>
      </c>
      <c r="AL14" s="14">
        <f>IF(INDEX(N14:Y14,1,$C$3)="","—",INDEX(N14:Y14,1,$C$3))</f>
        <v/>
      </c>
      <c r="AM14" s="13">
        <f>INDEX(Z14:AK14,1,$C$3)</f>
        <v/>
      </c>
      <c r="AN14" s="13">
        <f>IF($C$3-M14&lt;1,"SIN DATO",INDEX(Z14:AK14,1,$C$3-M14))</f>
        <v/>
      </c>
      <c r="AO14" s="13">
        <f>IF(AND(OR(AM14="AMARILLO",AM14="ROJO"),OR(AN14="AMARILLO",AN14="ROJO")),"SÍ","no")</f>
        <v/>
      </c>
      <c r="AP14" s="13">
        <f>IF(AM14="ROJO","SÍ","no")</f>
        <v/>
      </c>
    </row>
    <row r="15">
      <c r="A15" s="9" t="inlineStr">
        <is>
          <t>O2</t>
        </is>
      </c>
      <c r="B15" s="9" t="inlineStr">
        <is>
          <t>orden</t>
        </is>
      </c>
      <c r="C15" s="9" t="inlineStr">
        <is>
          <t>KS OOT</t>
        </is>
      </c>
      <c r="D15" s="9" t="inlineStr">
        <is>
          <t>Máxima distancia entre las acumuladas de buenos y malos</t>
        </is>
      </c>
      <c r="E15" s="10" t="inlineStr">
        <is>
          <t>menor</t>
        </is>
      </c>
      <c r="F15" s="10" t="n">
        <v>0.3</v>
      </c>
      <c r="G15" s="10" t="n">
        <v>0.2</v>
      </c>
      <c r="H15" s="9" t="inlineStr">
        <is>
          <t>Trimestral</t>
        </is>
      </c>
      <c r="I15" s="9" t="n">
        <v>12</v>
      </c>
      <c r="J15" s="9" t="inlineStr">
        <is>
          <t>Modelador</t>
        </is>
      </c>
      <c r="K15" s="9" t="inlineStr">
        <is>
          <t>Revisar junto con Gini</t>
        </is>
      </c>
      <c r="L15" s="9" t="inlineStr">
        <is>
          <t>Gatillo de re-desarrollo</t>
        </is>
      </c>
      <c r="M15" s="11" t="n">
        <v>3</v>
      </c>
      <c r="N15" s="12" t="n"/>
      <c r="O15" s="12" t="n"/>
      <c r="P15" s="12" t="n">
        <v>0.5610000000000001</v>
      </c>
      <c r="Q15" s="12" t="n"/>
      <c r="R15" s="12" t="n"/>
      <c r="S15" s="12" t="n">
        <v>0.556</v>
      </c>
      <c r="T15" s="12" t="n"/>
      <c r="U15" s="12" t="n"/>
      <c r="V15" s="12" t="n">
        <v>0.549</v>
      </c>
      <c r="W15" s="12" t="n"/>
      <c r="X15" s="12" t="n"/>
      <c r="Y15" s="12" t="n">
        <v>0.545</v>
      </c>
      <c r="Z15" s="13">
        <f>IF(N15="","SIN DATO",IF($E15="mayor",IF(N15&gt;$G15,"ROJO",IF(N15&gt;$F15,"AMARILLO","VERDE")),IF($E15="menor",IF(N15&lt;$G15,"ROJO",IF(N15&lt;$F15,"AMARILLO","VERDE")),IF(ABS(N15)&gt;$G15,"ROJO",IF(ABS(N15)&gt;$F15,"AMARILLO","VERDE")))))</f>
        <v/>
      </c>
      <c r="AA15" s="13">
        <f>IF(O15="","SIN DATO",IF($E15="mayor",IF(O15&gt;$G15,"ROJO",IF(O15&gt;$F15,"AMARILLO","VERDE")),IF($E15="menor",IF(O15&lt;$G15,"ROJO",IF(O15&lt;$F15,"AMARILLO","VERDE")),IF(ABS(O15)&gt;$G15,"ROJO",IF(ABS(O15)&gt;$F15,"AMARILLO","VERDE")))))</f>
        <v/>
      </c>
      <c r="AB15" s="13">
        <f>IF(P15="","SIN DATO",IF($E15="mayor",IF(P15&gt;$G15,"ROJO",IF(P15&gt;$F15,"AMARILLO","VERDE")),IF($E15="menor",IF(P15&lt;$G15,"ROJO",IF(P15&lt;$F15,"AMARILLO","VERDE")),IF(ABS(P15)&gt;$G15,"ROJO",IF(ABS(P15)&gt;$F15,"AMARILLO","VERDE")))))</f>
        <v/>
      </c>
      <c r="AC15" s="13">
        <f>IF(Q15="","SIN DATO",IF($E15="mayor",IF(Q15&gt;$G15,"ROJO",IF(Q15&gt;$F15,"AMARILLO","VERDE")),IF($E15="menor",IF(Q15&lt;$G15,"ROJO",IF(Q15&lt;$F15,"AMARILLO","VERDE")),IF(ABS(Q15)&gt;$G15,"ROJO",IF(ABS(Q15)&gt;$F15,"AMARILLO","VERDE")))))</f>
        <v/>
      </c>
      <c r="AD15" s="13">
        <f>IF(R15="","SIN DATO",IF($E15="mayor",IF(R15&gt;$G15,"ROJO",IF(R15&gt;$F15,"AMARILLO","VERDE")),IF($E15="menor",IF(R15&lt;$G15,"ROJO",IF(R15&lt;$F15,"AMARILLO","VERDE")),IF(ABS(R15)&gt;$G15,"ROJO",IF(ABS(R15)&gt;$F15,"AMARILLO","VERDE")))))</f>
        <v/>
      </c>
      <c r="AE15" s="13">
        <f>IF(S15="","SIN DATO",IF($E15="mayor",IF(S15&gt;$G15,"ROJO",IF(S15&gt;$F15,"AMARILLO","VERDE")),IF($E15="menor",IF(S15&lt;$G15,"ROJO",IF(S15&lt;$F15,"AMARILLO","VERDE")),IF(ABS(S15)&gt;$G15,"ROJO",IF(ABS(S15)&gt;$F15,"AMARILLO","VERDE")))))</f>
        <v/>
      </c>
      <c r="AF15" s="13">
        <f>IF(T15="","SIN DATO",IF($E15="mayor",IF(T15&gt;$G15,"ROJO",IF(T15&gt;$F15,"AMARILLO","VERDE")),IF($E15="menor",IF(T15&lt;$G15,"ROJO",IF(T15&lt;$F15,"AMARILLO","VERDE")),IF(ABS(T15)&gt;$G15,"ROJO",IF(ABS(T15)&gt;$F15,"AMARILLO","VERDE")))))</f>
        <v/>
      </c>
      <c r="AG15" s="13">
        <f>IF(U15="","SIN DATO",IF($E15="mayor",IF(U15&gt;$G15,"ROJO",IF(U15&gt;$F15,"AMARILLO","VERDE")),IF($E15="menor",IF(U15&lt;$G15,"ROJO",IF(U15&lt;$F15,"AMARILLO","VERDE")),IF(ABS(U15)&gt;$G15,"ROJO",IF(ABS(U15)&gt;$F15,"AMARILLO","VERDE")))))</f>
        <v/>
      </c>
      <c r="AH15" s="13">
        <f>IF(V15="","SIN DATO",IF($E15="mayor",IF(V15&gt;$G15,"ROJO",IF(V15&gt;$F15,"AMARILLO","VERDE")),IF($E15="menor",IF(V15&lt;$G15,"ROJO",IF(V15&lt;$F15,"AMARILLO","VERDE")),IF(ABS(V15)&gt;$G15,"ROJO",IF(ABS(V15)&gt;$F15,"AMARILLO","VERDE")))))</f>
        <v/>
      </c>
      <c r="AI15" s="13">
        <f>IF(W15="","SIN DATO",IF($E15="mayor",IF(W15&gt;$G15,"ROJO",IF(W15&gt;$F15,"AMARILLO","VERDE")),IF($E15="menor",IF(W15&lt;$G15,"ROJO",IF(W15&lt;$F15,"AMARILLO","VERDE")),IF(ABS(W15)&gt;$G15,"ROJO",IF(ABS(W15)&gt;$F15,"AMARILLO","VERDE")))))</f>
        <v/>
      </c>
      <c r="AJ15" s="13">
        <f>IF(X15="","SIN DATO",IF($E15="mayor",IF(X15&gt;$G15,"ROJO",IF(X15&gt;$F15,"AMARILLO","VERDE")),IF($E15="menor",IF(X15&lt;$G15,"ROJO",IF(X15&lt;$F15,"AMARILLO","VERDE")),IF(ABS(X15)&gt;$G15,"ROJO",IF(ABS(X15)&gt;$F15,"AMARILLO","VERDE")))))</f>
        <v/>
      </c>
      <c r="AK15" s="13">
        <f>IF(Y15="","SIN DATO",IF($E15="mayor",IF(Y15&gt;$G15,"ROJO",IF(Y15&gt;$F15,"AMARILLO","VERDE")),IF($E15="menor",IF(Y15&lt;$G15,"ROJO",IF(Y15&lt;$F15,"AMARILLO","VERDE")),IF(ABS(Y15)&gt;$G15,"ROJO",IF(ABS(Y15)&gt;$F15,"AMARILLO","VERDE")))))</f>
        <v/>
      </c>
      <c r="AL15" s="14">
        <f>IF(INDEX(N15:Y15,1,$C$3)="","—",INDEX(N15:Y15,1,$C$3))</f>
        <v/>
      </c>
      <c r="AM15" s="13">
        <f>INDEX(Z15:AK15,1,$C$3)</f>
        <v/>
      </c>
      <c r="AN15" s="13">
        <f>IF($C$3-M15&lt;1,"SIN DATO",INDEX(Z15:AK15,1,$C$3-M15))</f>
        <v/>
      </c>
      <c r="AO15" s="13">
        <f>IF(AND(OR(AM15="AMARILLO",AM15="ROJO"),OR(AN15="AMARILLO",AN15="ROJO")),"SÍ","no")</f>
        <v/>
      </c>
      <c r="AP15" s="13">
        <f>IF(AM15="ROJO","SÍ","no")</f>
        <v/>
      </c>
    </row>
    <row r="16">
      <c r="A16" s="9" t="inlineStr">
        <is>
          <t>L1</t>
        </is>
      </c>
      <c r="B16" s="9" t="inlineStr">
        <is>
          <t>nivel</t>
        </is>
      </c>
      <c r="C16" s="9" t="inlineStr">
        <is>
          <t>Binomial global OOT: p</t>
        </is>
      </c>
      <c r="D16" s="9" t="inlineStr">
        <is>
          <t>Test binomial de la tasa observada contra la PD media calibrada</t>
        </is>
      </c>
      <c r="E16" s="10" t="inlineStr">
        <is>
          <t>menor</t>
        </is>
      </c>
      <c r="F16" s="10" t="n">
        <v>0.05</v>
      </c>
      <c r="G16" s="10" t="n">
        <v>0.01</v>
      </c>
      <c r="H16" s="9" t="inlineStr">
        <is>
          <t>Trimestral</t>
        </is>
      </c>
      <c r="I16" s="9" t="n">
        <v>12</v>
      </c>
      <c r="J16" s="9" t="inlineStr">
        <is>
          <t>Modelador</t>
        </is>
      </c>
      <c r="K16" s="9" t="inlineStr">
        <is>
          <t>Vigilancia reforzada</t>
        </is>
      </c>
      <c r="L16" s="9" t="inlineStr">
        <is>
          <t>Gatillo de recalibración del δ</t>
        </is>
      </c>
      <c r="M16" s="11" t="n">
        <v>3</v>
      </c>
      <c r="N16" s="12" t="n"/>
      <c r="O16" s="12" t="n"/>
      <c r="P16" s="12" t="n">
        <v>0.71</v>
      </c>
      <c r="Q16" s="12" t="n"/>
      <c r="R16" s="12" t="n"/>
      <c r="S16" s="12" t="n">
        <v>0.66</v>
      </c>
      <c r="T16" s="12" t="n"/>
      <c r="U16" s="12" t="n"/>
      <c r="V16" s="12" t="n">
        <v>0.61</v>
      </c>
      <c r="W16" s="12" t="n"/>
      <c r="X16" s="12" t="n"/>
      <c r="Y16" s="12" t="n">
        <v>0.5600000000000001</v>
      </c>
      <c r="Z16" s="13">
        <f>IF(N16="","SIN DATO",IF($E16="mayor",IF(N16&gt;$G16,"ROJO",IF(N16&gt;$F16,"AMARILLO","VERDE")),IF($E16="menor",IF(N16&lt;$G16,"ROJO",IF(N16&lt;$F16,"AMARILLO","VERDE")),IF(ABS(N16)&gt;$G16,"ROJO",IF(ABS(N16)&gt;$F16,"AMARILLO","VERDE")))))</f>
        <v/>
      </c>
      <c r="AA16" s="13">
        <f>IF(O16="","SIN DATO",IF($E16="mayor",IF(O16&gt;$G16,"ROJO",IF(O16&gt;$F16,"AMARILLO","VERDE")),IF($E16="menor",IF(O16&lt;$G16,"ROJO",IF(O16&lt;$F16,"AMARILLO","VERDE")),IF(ABS(O16)&gt;$G16,"ROJO",IF(ABS(O16)&gt;$F16,"AMARILLO","VERDE")))))</f>
        <v/>
      </c>
      <c r="AB16" s="13">
        <f>IF(P16="","SIN DATO",IF($E16="mayor",IF(P16&gt;$G16,"ROJO",IF(P16&gt;$F16,"AMARILLO","VERDE")),IF($E16="menor",IF(P16&lt;$G16,"ROJO",IF(P16&lt;$F16,"AMARILLO","VERDE")),IF(ABS(P16)&gt;$G16,"ROJO",IF(ABS(P16)&gt;$F16,"AMARILLO","VERDE")))))</f>
        <v/>
      </c>
      <c r="AC16" s="13">
        <f>IF(Q16="","SIN DATO",IF($E16="mayor",IF(Q16&gt;$G16,"ROJO",IF(Q16&gt;$F16,"AMARILLO","VERDE")),IF($E16="menor",IF(Q16&lt;$G16,"ROJO",IF(Q16&lt;$F16,"AMARILLO","VERDE")),IF(ABS(Q16)&gt;$G16,"ROJO",IF(ABS(Q16)&gt;$F16,"AMARILLO","VERDE")))))</f>
        <v/>
      </c>
      <c r="AD16" s="13">
        <f>IF(R16="","SIN DATO",IF($E16="mayor",IF(R16&gt;$G16,"ROJO",IF(R16&gt;$F16,"AMARILLO","VERDE")),IF($E16="menor",IF(R16&lt;$G16,"ROJO",IF(R16&lt;$F16,"AMARILLO","VERDE")),IF(ABS(R16)&gt;$G16,"ROJO",IF(ABS(R16)&gt;$F16,"AMARILLO","VERDE")))))</f>
        <v/>
      </c>
      <c r="AE16" s="13">
        <f>IF(S16="","SIN DATO",IF($E16="mayor",IF(S16&gt;$G16,"ROJO",IF(S16&gt;$F16,"AMARILLO","VERDE")),IF($E16="menor",IF(S16&lt;$G16,"ROJO",IF(S16&lt;$F16,"AMARILLO","VERDE")),IF(ABS(S16)&gt;$G16,"ROJO",IF(ABS(S16)&gt;$F16,"AMARILLO","VERDE")))))</f>
        <v/>
      </c>
      <c r="AF16" s="13">
        <f>IF(T16="","SIN DATO",IF($E16="mayor",IF(T16&gt;$G16,"ROJO",IF(T16&gt;$F16,"AMARILLO","VERDE")),IF($E16="menor",IF(T16&lt;$G16,"ROJO",IF(T16&lt;$F16,"AMARILLO","VERDE")),IF(ABS(T16)&gt;$G16,"ROJO",IF(ABS(T16)&gt;$F16,"AMARILLO","VERDE")))))</f>
        <v/>
      </c>
      <c r="AG16" s="13">
        <f>IF(U16="","SIN DATO",IF($E16="mayor",IF(U16&gt;$G16,"ROJO",IF(U16&gt;$F16,"AMARILLO","VERDE")),IF($E16="menor",IF(U16&lt;$G16,"ROJO",IF(U16&lt;$F16,"AMARILLO","VERDE")),IF(ABS(U16)&gt;$G16,"ROJO",IF(ABS(U16)&gt;$F16,"AMARILLO","VERDE")))))</f>
        <v/>
      </c>
      <c r="AH16" s="13">
        <f>IF(V16="","SIN DATO",IF($E16="mayor",IF(V16&gt;$G16,"ROJO",IF(V16&gt;$F16,"AMARILLO","VERDE")),IF($E16="menor",IF(V16&lt;$G16,"ROJO",IF(V16&lt;$F16,"AMARILLO","VERDE")),IF(ABS(V16)&gt;$G16,"ROJO",IF(ABS(V16)&gt;$F16,"AMARILLO","VERDE")))))</f>
        <v/>
      </c>
      <c r="AI16" s="13">
        <f>IF(W16="","SIN DATO",IF($E16="mayor",IF(W16&gt;$G16,"ROJO",IF(W16&gt;$F16,"AMARILLO","VERDE")),IF($E16="menor",IF(W16&lt;$G16,"ROJO",IF(W16&lt;$F16,"AMARILLO","VERDE")),IF(ABS(W16)&gt;$G16,"ROJO",IF(ABS(W16)&gt;$F16,"AMARILLO","VERDE")))))</f>
        <v/>
      </c>
      <c r="AJ16" s="13">
        <f>IF(X16="","SIN DATO",IF($E16="mayor",IF(X16&gt;$G16,"ROJO",IF(X16&gt;$F16,"AMARILLO","VERDE")),IF($E16="menor",IF(X16&lt;$G16,"ROJO",IF(X16&lt;$F16,"AMARILLO","VERDE")),IF(ABS(X16)&gt;$G16,"ROJO",IF(ABS(X16)&gt;$F16,"AMARILLO","VERDE")))))</f>
        <v/>
      </c>
      <c r="AK16" s="13">
        <f>IF(Y16="","SIN DATO",IF($E16="mayor",IF(Y16&gt;$G16,"ROJO",IF(Y16&gt;$F16,"AMARILLO","VERDE")),IF($E16="menor",IF(Y16&lt;$G16,"ROJO",IF(Y16&lt;$F16,"AMARILLO","VERDE")),IF(ABS(Y16)&gt;$G16,"ROJO",IF(ABS(Y16)&gt;$F16,"AMARILLO","VERDE")))))</f>
        <v/>
      </c>
      <c r="AL16" s="14">
        <f>IF(INDEX(N16:Y16,1,$C$3)="","—",INDEX(N16:Y16,1,$C$3))</f>
        <v/>
      </c>
      <c r="AM16" s="13">
        <f>INDEX(Z16:AK16,1,$C$3)</f>
        <v/>
      </c>
      <c r="AN16" s="13">
        <f>IF($C$3-M16&lt;1,"SIN DATO",INDEX(Z16:AK16,1,$C$3-M16))</f>
        <v/>
      </c>
      <c r="AO16" s="13">
        <f>IF(AND(OR(AM16="AMARILLO",AM16="ROJO"),OR(AN16="AMARILLO",AN16="ROJO")),"SÍ","no")</f>
        <v/>
      </c>
      <c r="AP16" s="13">
        <f>IF(AM16="ROJO","SÍ","no")</f>
        <v/>
      </c>
    </row>
    <row r="17">
      <c r="A17" s="9" t="inlineStr">
        <is>
          <t>L2</t>
        </is>
      </c>
      <c r="B17" s="9" t="inlineStr">
        <is>
          <t>nivel</t>
        </is>
      </c>
      <c r="C17" s="9" t="inlineStr">
        <is>
          <t>Bandas con binomial fuera: p mínimo de 8</t>
        </is>
      </c>
      <c r="D17" s="9" t="inlineStr">
        <is>
          <t>Mínimo de los p binomiales por banda (equivale a «alguna banda amarilla/roja»)</t>
        </is>
      </c>
      <c r="E17" s="10" t="inlineStr">
        <is>
          <t>menor</t>
        </is>
      </c>
      <c r="F17" s="10" t="n">
        <v>0.05</v>
      </c>
      <c r="G17" s="10" t="n">
        <v>0.01</v>
      </c>
      <c r="H17" s="9" t="inlineStr">
        <is>
          <t>Trimestral</t>
        </is>
      </c>
      <c r="I17" s="9" t="n">
        <v>12</v>
      </c>
      <c r="J17" s="9" t="inlineStr">
        <is>
          <t>Modelador</t>
        </is>
      </c>
      <c r="K17" s="9" t="inlineStr">
        <is>
          <t>Leer patrón (¿bandas buenas subestiman?)</t>
        </is>
      </c>
      <c r="L17" s="9" t="inlineStr">
        <is>
          <t>Análisis por banda; recalibración si es patrón</t>
        </is>
      </c>
      <c r="M17" s="11" t="n">
        <v>3</v>
      </c>
      <c r="N17" s="12" t="n"/>
      <c r="O17" s="12" t="n"/>
      <c r="P17" s="12" t="n">
        <v>0.21</v>
      </c>
      <c r="Q17" s="12" t="n"/>
      <c r="R17" s="12" t="n"/>
      <c r="S17" s="12" t="n">
        <v>0.09</v>
      </c>
      <c r="T17" s="12" t="n"/>
      <c r="U17" s="12" t="n"/>
      <c r="V17" s="12" t="n">
        <v>0.05</v>
      </c>
      <c r="W17" s="12" t="n"/>
      <c r="X17" s="12" t="n"/>
      <c r="Y17" s="12" t="n">
        <v>0.02</v>
      </c>
      <c r="Z17" s="13">
        <f>IF(N17="","SIN DATO",IF($E17="mayor",IF(N17&gt;$G17,"ROJO",IF(N17&gt;$F17,"AMARILLO","VERDE")),IF($E17="menor",IF(N17&lt;$G17,"ROJO",IF(N17&lt;$F17,"AMARILLO","VERDE")),IF(ABS(N17)&gt;$G17,"ROJO",IF(ABS(N17)&gt;$F17,"AMARILLO","VERDE")))))</f>
        <v/>
      </c>
      <c r="AA17" s="13">
        <f>IF(O17="","SIN DATO",IF($E17="mayor",IF(O17&gt;$G17,"ROJO",IF(O17&gt;$F17,"AMARILLO","VERDE")),IF($E17="menor",IF(O17&lt;$G17,"ROJO",IF(O17&lt;$F17,"AMARILLO","VERDE")),IF(ABS(O17)&gt;$G17,"ROJO",IF(ABS(O17)&gt;$F17,"AMARILLO","VERDE")))))</f>
        <v/>
      </c>
      <c r="AB17" s="13">
        <f>IF(P17="","SIN DATO",IF($E17="mayor",IF(P17&gt;$G17,"ROJO",IF(P17&gt;$F17,"AMARILLO","VERDE")),IF($E17="menor",IF(P17&lt;$G17,"ROJO",IF(P17&lt;$F17,"AMARILLO","VERDE")),IF(ABS(P17)&gt;$G17,"ROJO",IF(ABS(P17)&gt;$F17,"AMARILLO","VERDE")))))</f>
        <v/>
      </c>
      <c r="AC17" s="13">
        <f>IF(Q17="","SIN DATO",IF($E17="mayor",IF(Q17&gt;$G17,"ROJO",IF(Q17&gt;$F17,"AMARILLO","VERDE")),IF($E17="menor",IF(Q17&lt;$G17,"ROJO",IF(Q17&lt;$F17,"AMARILLO","VERDE")),IF(ABS(Q17)&gt;$G17,"ROJO",IF(ABS(Q17)&gt;$F17,"AMARILLO","VERDE")))))</f>
        <v/>
      </c>
      <c r="AD17" s="13">
        <f>IF(R17="","SIN DATO",IF($E17="mayor",IF(R17&gt;$G17,"ROJO",IF(R17&gt;$F17,"AMARILLO","VERDE")),IF($E17="menor",IF(R17&lt;$G17,"ROJO",IF(R17&lt;$F17,"AMARILLO","VERDE")),IF(ABS(R17)&gt;$G17,"ROJO",IF(ABS(R17)&gt;$F17,"AMARILLO","VERDE")))))</f>
        <v/>
      </c>
      <c r="AE17" s="13">
        <f>IF(S17="","SIN DATO",IF($E17="mayor",IF(S17&gt;$G17,"ROJO",IF(S17&gt;$F17,"AMARILLO","VERDE")),IF($E17="menor",IF(S17&lt;$G17,"ROJO",IF(S17&lt;$F17,"AMARILLO","VERDE")),IF(ABS(S17)&gt;$G17,"ROJO",IF(ABS(S17)&gt;$F17,"AMARILLO","VERDE")))))</f>
        <v/>
      </c>
      <c r="AF17" s="13">
        <f>IF(T17="","SIN DATO",IF($E17="mayor",IF(T17&gt;$G17,"ROJO",IF(T17&gt;$F17,"AMARILLO","VERDE")),IF($E17="menor",IF(T17&lt;$G17,"ROJO",IF(T17&lt;$F17,"AMARILLO","VERDE")),IF(ABS(T17)&gt;$G17,"ROJO",IF(ABS(T17)&gt;$F17,"AMARILLO","VERDE")))))</f>
        <v/>
      </c>
      <c r="AG17" s="13">
        <f>IF(U17="","SIN DATO",IF($E17="mayor",IF(U17&gt;$G17,"ROJO",IF(U17&gt;$F17,"AMARILLO","VERDE")),IF($E17="menor",IF(U17&lt;$G17,"ROJO",IF(U17&lt;$F17,"AMARILLO","VERDE")),IF(ABS(U17)&gt;$G17,"ROJO",IF(ABS(U17)&gt;$F17,"AMARILLO","VERDE")))))</f>
        <v/>
      </c>
      <c r="AH17" s="13">
        <f>IF(V17="","SIN DATO",IF($E17="mayor",IF(V17&gt;$G17,"ROJO",IF(V17&gt;$F17,"AMARILLO","VERDE")),IF($E17="menor",IF(V17&lt;$G17,"ROJO",IF(V17&lt;$F17,"AMARILLO","VERDE")),IF(ABS(V17)&gt;$G17,"ROJO",IF(ABS(V17)&gt;$F17,"AMARILLO","VERDE")))))</f>
        <v/>
      </c>
      <c r="AI17" s="13">
        <f>IF(W17="","SIN DATO",IF($E17="mayor",IF(W17&gt;$G17,"ROJO",IF(W17&gt;$F17,"AMARILLO","VERDE")),IF($E17="menor",IF(W17&lt;$G17,"ROJO",IF(W17&lt;$F17,"AMARILLO","VERDE")),IF(ABS(W17)&gt;$G17,"ROJO",IF(ABS(W17)&gt;$F17,"AMARILLO","VERDE")))))</f>
        <v/>
      </c>
      <c r="AJ17" s="13">
        <f>IF(X17="","SIN DATO",IF($E17="mayor",IF(X17&gt;$G17,"ROJO",IF(X17&gt;$F17,"AMARILLO","VERDE")),IF($E17="menor",IF(X17&lt;$G17,"ROJO",IF(X17&lt;$F17,"AMARILLO","VERDE")),IF(ABS(X17)&gt;$G17,"ROJO",IF(ABS(X17)&gt;$F17,"AMARILLO","VERDE")))))</f>
        <v/>
      </c>
      <c r="AK17" s="13">
        <f>IF(Y17="","SIN DATO",IF($E17="mayor",IF(Y17&gt;$G17,"ROJO",IF(Y17&gt;$F17,"AMARILLO","VERDE")),IF($E17="menor",IF(Y17&lt;$G17,"ROJO",IF(Y17&lt;$F17,"AMARILLO","VERDE")),IF(ABS(Y17)&gt;$G17,"ROJO",IF(ABS(Y17)&gt;$F17,"AMARILLO","VERDE")))))</f>
        <v/>
      </c>
      <c r="AL17" s="14">
        <f>IF(INDEX(N17:Y17,1,$C$3)="","—",INDEX(N17:Y17,1,$C$3))</f>
        <v/>
      </c>
      <c r="AM17" s="13">
        <f>INDEX(Z17:AK17,1,$C$3)</f>
        <v/>
      </c>
      <c r="AN17" s="13">
        <f>IF($C$3-M17&lt;1,"SIN DATO",INDEX(Z17:AK17,1,$C$3-M17))</f>
        <v/>
      </c>
      <c r="AO17" s="13">
        <f>IF(AND(OR(AM17="AMARILLO",AM17="ROJO"),OR(AN17="AMARILLO",AN17="ROJO")),"SÍ","no")</f>
        <v/>
      </c>
      <c r="AP17" s="13">
        <f>IF(AM17="ROJO","SÍ","no")</f>
        <v/>
      </c>
    </row>
    <row r="18">
      <c r="A18" s="9" t="inlineStr">
        <is>
          <t>L3</t>
        </is>
      </c>
      <c r="B18" s="9" t="inlineStr">
        <is>
          <t>nivel</t>
        </is>
      </c>
      <c r="C18" s="9" t="inlineStr">
        <is>
          <t>Hosmer-Lemeshow OOT: p simulado</t>
        </is>
      </c>
      <c r="D18" s="9" t="inlineStr">
        <is>
          <t>HL con 10 grupos; p por simulación bajo H0 (no la χ² si hay esperados &lt; 5)</t>
        </is>
      </c>
      <c r="E18" s="10" t="inlineStr">
        <is>
          <t>menor</t>
        </is>
      </c>
      <c r="F18" s="10" t="n">
        <v>0.05</v>
      </c>
      <c r="G18" s="10" t="n">
        <v>0.01</v>
      </c>
      <c r="H18" s="9" t="inlineStr">
        <is>
          <t>Trimestral</t>
        </is>
      </c>
      <c r="I18" s="9" t="n">
        <v>12</v>
      </c>
      <c r="J18" s="9" t="inlineStr">
        <is>
          <t>Modelador</t>
        </is>
      </c>
      <c r="K18" s="9" t="inlineStr">
        <is>
          <t>Autopsia por grupo</t>
        </is>
      </c>
      <c r="L18" s="9" t="inlineStr">
        <is>
          <t>Gatillo de recalibración / forma</t>
        </is>
      </c>
      <c r="M18" s="11" t="n">
        <v>3</v>
      </c>
      <c r="N18" s="12" t="n"/>
      <c r="O18" s="12" t="n"/>
      <c r="P18" s="12" t="n">
        <v>0.34</v>
      </c>
      <c r="Q18" s="12" t="n"/>
      <c r="R18" s="12" t="n"/>
      <c r="S18" s="12" t="n">
        <v>0.12</v>
      </c>
      <c r="T18" s="12" t="n"/>
      <c r="U18" s="12" t="n"/>
      <c r="V18" s="12" t="n">
        <v>0.06</v>
      </c>
      <c r="W18" s="12" t="n"/>
      <c r="X18" s="12" t="n"/>
      <c r="Y18" s="12" t="n">
        <v>0.012</v>
      </c>
      <c r="Z18" s="13">
        <f>IF(N18="","SIN DATO",IF($E18="mayor",IF(N18&gt;$G18,"ROJO",IF(N18&gt;$F18,"AMARILLO","VERDE")),IF($E18="menor",IF(N18&lt;$G18,"ROJO",IF(N18&lt;$F18,"AMARILLO","VERDE")),IF(ABS(N18)&gt;$G18,"ROJO",IF(ABS(N18)&gt;$F18,"AMARILLO","VERDE")))))</f>
        <v/>
      </c>
      <c r="AA18" s="13">
        <f>IF(O18="","SIN DATO",IF($E18="mayor",IF(O18&gt;$G18,"ROJO",IF(O18&gt;$F18,"AMARILLO","VERDE")),IF($E18="menor",IF(O18&lt;$G18,"ROJO",IF(O18&lt;$F18,"AMARILLO","VERDE")),IF(ABS(O18)&gt;$G18,"ROJO",IF(ABS(O18)&gt;$F18,"AMARILLO","VERDE")))))</f>
        <v/>
      </c>
      <c r="AB18" s="13">
        <f>IF(P18="","SIN DATO",IF($E18="mayor",IF(P18&gt;$G18,"ROJO",IF(P18&gt;$F18,"AMARILLO","VERDE")),IF($E18="menor",IF(P18&lt;$G18,"ROJO",IF(P18&lt;$F18,"AMARILLO","VERDE")),IF(ABS(P18)&gt;$G18,"ROJO",IF(ABS(P18)&gt;$F18,"AMARILLO","VERDE")))))</f>
        <v/>
      </c>
      <c r="AC18" s="13">
        <f>IF(Q18="","SIN DATO",IF($E18="mayor",IF(Q18&gt;$G18,"ROJO",IF(Q18&gt;$F18,"AMARILLO","VERDE")),IF($E18="menor",IF(Q18&lt;$G18,"ROJO",IF(Q18&lt;$F18,"AMARILLO","VERDE")),IF(ABS(Q18)&gt;$G18,"ROJO",IF(ABS(Q18)&gt;$F18,"AMARILLO","VERDE")))))</f>
        <v/>
      </c>
      <c r="AD18" s="13">
        <f>IF(R18="","SIN DATO",IF($E18="mayor",IF(R18&gt;$G18,"ROJO",IF(R18&gt;$F18,"AMARILLO","VERDE")),IF($E18="menor",IF(R18&lt;$G18,"ROJO",IF(R18&lt;$F18,"AMARILLO","VERDE")),IF(ABS(R18)&gt;$G18,"ROJO",IF(ABS(R18)&gt;$F18,"AMARILLO","VERDE")))))</f>
        <v/>
      </c>
      <c r="AE18" s="13">
        <f>IF(S18="","SIN DATO",IF($E18="mayor",IF(S18&gt;$G18,"ROJO",IF(S18&gt;$F18,"AMARILLO","VERDE")),IF($E18="menor",IF(S18&lt;$G18,"ROJO",IF(S18&lt;$F18,"AMARILLO","VERDE")),IF(ABS(S18)&gt;$G18,"ROJO",IF(ABS(S18)&gt;$F18,"AMARILLO","VERDE")))))</f>
        <v/>
      </c>
      <c r="AF18" s="13">
        <f>IF(T18="","SIN DATO",IF($E18="mayor",IF(T18&gt;$G18,"ROJO",IF(T18&gt;$F18,"AMARILLO","VERDE")),IF($E18="menor",IF(T18&lt;$G18,"ROJO",IF(T18&lt;$F18,"AMARILLO","VERDE")),IF(ABS(T18)&gt;$G18,"ROJO",IF(ABS(T18)&gt;$F18,"AMARILLO","VERDE")))))</f>
        <v/>
      </c>
      <c r="AG18" s="13">
        <f>IF(U18="","SIN DATO",IF($E18="mayor",IF(U18&gt;$G18,"ROJO",IF(U18&gt;$F18,"AMARILLO","VERDE")),IF($E18="menor",IF(U18&lt;$G18,"ROJO",IF(U18&lt;$F18,"AMARILLO","VERDE")),IF(ABS(U18)&gt;$G18,"ROJO",IF(ABS(U18)&gt;$F18,"AMARILLO","VERDE")))))</f>
        <v/>
      </c>
      <c r="AH18" s="13">
        <f>IF(V18="","SIN DATO",IF($E18="mayor",IF(V18&gt;$G18,"ROJO",IF(V18&gt;$F18,"AMARILLO","VERDE")),IF($E18="menor",IF(V18&lt;$G18,"ROJO",IF(V18&lt;$F18,"AMARILLO","VERDE")),IF(ABS(V18)&gt;$G18,"ROJO",IF(ABS(V18)&gt;$F18,"AMARILLO","VERDE")))))</f>
        <v/>
      </c>
      <c r="AI18" s="13">
        <f>IF(W18="","SIN DATO",IF($E18="mayor",IF(W18&gt;$G18,"ROJO",IF(W18&gt;$F18,"AMARILLO","VERDE")),IF($E18="menor",IF(W18&lt;$G18,"ROJO",IF(W18&lt;$F18,"AMARILLO","VERDE")),IF(ABS(W18)&gt;$G18,"ROJO",IF(ABS(W18)&gt;$F18,"AMARILLO","VERDE")))))</f>
        <v/>
      </c>
      <c r="AJ18" s="13">
        <f>IF(X18="","SIN DATO",IF($E18="mayor",IF(X18&gt;$G18,"ROJO",IF(X18&gt;$F18,"AMARILLO","VERDE")),IF($E18="menor",IF(X18&lt;$G18,"ROJO",IF(X18&lt;$F18,"AMARILLO","VERDE")),IF(ABS(X18)&gt;$G18,"ROJO",IF(ABS(X18)&gt;$F18,"AMARILLO","VERDE")))))</f>
        <v/>
      </c>
      <c r="AK18" s="13">
        <f>IF(Y18="","SIN DATO",IF($E18="mayor",IF(Y18&gt;$G18,"ROJO",IF(Y18&gt;$F18,"AMARILLO","VERDE")),IF($E18="menor",IF(Y18&lt;$G18,"ROJO",IF(Y18&lt;$F18,"AMARILLO","VERDE")),IF(ABS(Y18)&gt;$G18,"ROJO",IF(ABS(Y18)&gt;$F18,"AMARILLO","VERDE")))))</f>
        <v/>
      </c>
      <c r="AL18" s="14">
        <f>IF(INDEX(N18:Y18,1,$C$3)="","—",INDEX(N18:Y18,1,$C$3))</f>
        <v/>
      </c>
      <c r="AM18" s="13">
        <f>INDEX(Z18:AK18,1,$C$3)</f>
        <v/>
      </c>
      <c r="AN18" s="13">
        <f>IF($C$3-M18&lt;1,"SIN DATO",INDEX(Z18:AK18,1,$C$3-M18))</f>
        <v/>
      </c>
      <c r="AO18" s="13">
        <f>IF(AND(OR(AM18="AMARILLO",AM18="ROJO"),OR(AN18="AMARILLO",AN18="ROJO")),"SÍ","no")</f>
        <v/>
      </c>
      <c r="AP18" s="13">
        <f>IF(AM18="ROJO","SÍ","no")</f>
        <v/>
      </c>
    </row>
    <row r="19">
      <c r="A19" s="9" t="inlineStr">
        <is>
          <t>C1</t>
        </is>
      </c>
      <c r="B19" s="9" t="inlineStr">
        <is>
          <t>cohortes</t>
        </is>
      </c>
      <c r="C19" s="9" t="inlineStr">
        <is>
          <t>Cohorte swap-in: p (mora vs PD)</t>
        </is>
      </c>
      <c r="D19" s="9" t="inlineStr">
        <is>
          <t>Binomial de la cohorte que el modelo aprueba y la política anterior rechazaba</t>
        </is>
      </c>
      <c r="E19" s="10" t="inlineStr">
        <is>
          <t>menor</t>
        </is>
      </c>
      <c r="F19" s="10" t="n">
        <v>0.05</v>
      </c>
      <c r="G19" s="10" t="n">
        <v>0.01</v>
      </c>
      <c r="H19" s="9" t="inlineStr">
        <is>
          <t>Trimestral</t>
        </is>
      </c>
      <c r="I19" s="9" t="n">
        <v>12</v>
      </c>
      <c r="J19" s="9" t="inlineStr">
        <is>
          <t>Modelador</t>
        </is>
      </c>
      <c r="K19" s="9" t="inlineStr">
        <is>
          <t>Vigilancia de la cohorte; no ampliar el swap</t>
        </is>
      </c>
      <c r="L19" s="9" t="inlineStr">
        <is>
          <t>Revertir ampliación del swap-in; revisar reject inference</t>
        </is>
      </c>
      <c r="M19" s="11" t="n">
        <v>3</v>
      </c>
      <c r="N19" s="12" t="n"/>
      <c r="O19" s="12" t="n"/>
      <c r="P19" s="12" t="n"/>
      <c r="Q19" s="12" t="n"/>
      <c r="R19" s="12" t="n"/>
      <c r="S19" s="12" t="n"/>
      <c r="T19" s="12" t="n"/>
      <c r="U19" s="12" t="n"/>
      <c r="V19" s="12" t="n"/>
      <c r="W19" s="12" t="n"/>
      <c r="X19" s="12" t="n"/>
      <c r="Y19" s="12" t="n">
        <v>0.04</v>
      </c>
      <c r="Z19" s="13">
        <f>IF(N19="","SIN DATO",IF($E19="mayor",IF(N19&gt;$G19,"ROJO",IF(N19&gt;$F19,"AMARILLO","VERDE")),IF($E19="menor",IF(N19&lt;$G19,"ROJO",IF(N19&lt;$F19,"AMARILLO","VERDE")),IF(ABS(N19)&gt;$G19,"ROJO",IF(ABS(N19)&gt;$F19,"AMARILLO","VERDE")))))</f>
        <v/>
      </c>
      <c r="AA19" s="13">
        <f>IF(O19="","SIN DATO",IF($E19="mayor",IF(O19&gt;$G19,"ROJO",IF(O19&gt;$F19,"AMARILLO","VERDE")),IF($E19="menor",IF(O19&lt;$G19,"ROJO",IF(O19&lt;$F19,"AMARILLO","VERDE")),IF(ABS(O19)&gt;$G19,"ROJO",IF(ABS(O19)&gt;$F19,"AMARILLO","VERDE")))))</f>
        <v/>
      </c>
      <c r="AB19" s="13">
        <f>IF(P19="","SIN DATO",IF($E19="mayor",IF(P19&gt;$G19,"ROJO",IF(P19&gt;$F19,"AMARILLO","VERDE")),IF($E19="menor",IF(P19&lt;$G19,"ROJO",IF(P19&lt;$F19,"AMARILLO","VERDE")),IF(ABS(P19)&gt;$G19,"ROJO",IF(ABS(P19)&gt;$F19,"AMARILLO","VERDE")))))</f>
        <v/>
      </c>
      <c r="AC19" s="13">
        <f>IF(Q19="","SIN DATO",IF($E19="mayor",IF(Q19&gt;$G19,"ROJO",IF(Q19&gt;$F19,"AMARILLO","VERDE")),IF($E19="menor",IF(Q19&lt;$G19,"ROJO",IF(Q19&lt;$F19,"AMARILLO","VERDE")),IF(ABS(Q19)&gt;$G19,"ROJO",IF(ABS(Q19)&gt;$F19,"AMARILLO","VERDE")))))</f>
        <v/>
      </c>
      <c r="AD19" s="13">
        <f>IF(R19="","SIN DATO",IF($E19="mayor",IF(R19&gt;$G19,"ROJO",IF(R19&gt;$F19,"AMARILLO","VERDE")),IF($E19="menor",IF(R19&lt;$G19,"ROJO",IF(R19&lt;$F19,"AMARILLO","VERDE")),IF(ABS(R19)&gt;$G19,"ROJO",IF(ABS(R19)&gt;$F19,"AMARILLO","VERDE")))))</f>
        <v/>
      </c>
      <c r="AE19" s="13">
        <f>IF(S19="","SIN DATO",IF($E19="mayor",IF(S19&gt;$G19,"ROJO",IF(S19&gt;$F19,"AMARILLO","VERDE")),IF($E19="menor",IF(S19&lt;$G19,"ROJO",IF(S19&lt;$F19,"AMARILLO","VERDE")),IF(ABS(S19)&gt;$G19,"ROJO",IF(ABS(S19)&gt;$F19,"AMARILLO","VERDE")))))</f>
        <v/>
      </c>
      <c r="AF19" s="13">
        <f>IF(T19="","SIN DATO",IF($E19="mayor",IF(T19&gt;$G19,"ROJO",IF(T19&gt;$F19,"AMARILLO","VERDE")),IF($E19="menor",IF(T19&lt;$G19,"ROJO",IF(T19&lt;$F19,"AMARILLO","VERDE")),IF(ABS(T19)&gt;$G19,"ROJO",IF(ABS(T19)&gt;$F19,"AMARILLO","VERDE")))))</f>
        <v/>
      </c>
      <c r="AG19" s="13">
        <f>IF(U19="","SIN DATO",IF($E19="mayor",IF(U19&gt;$G19,"ROJO",IF(U19&gt;$F19,"AMARILLO","VERDE")),IF($E19="menor",IF(U19&lt;$G19,"ROJO",IF(U19&lt;$F19,"AMARILLO","VERDE")),IF(ABS(U19)&gt;$G19,"ROJO",IF(ABS(U19)&gt;$F19,"AMARILLO","VERDE")))))</f>
        <v/>
      </c>
      <c r="AH19" s="13">
        <f>IF(V19="","SIN DATO",IF($E19="mayor",IF(V19&gt;$G19,"ROJO",IF(V19&gt;$F19,"AMARILLO","VERDE")),IF($E19="menor",IF(V19&lt;$G19,"ROJO",IF(V19&lt;$F19,"AMARILLO","VERDE")),IF(ABS(V19)&gt;$G19,"ROJO",IF(ABS(V19)&gt;$F19,"AMARILLO","VERDE")))))</f>
        <v/>
      </c>
      <c r="AI19" s="13">
        <f>IF(W19="","SIN DATO",IF($E19="mayor",IF(W19&gt;$G19,"ROJO",IF(W19&gt;$F19,"AMARILLO","VERDE")),IF($E19="menor",IF(W19&lt;$G19,"ROJO",IF(W19&lt;$F19,"AMARILLO","VERDE")),IF(ABS(W19)&gt;$G19,"ROJO",IF(ABS(W19)&gt;$F19,"AMARILLO","VERDE")))))</f>
        <v/>
      </c>
      <c r="AJ19" s="13">
        <f>IF(X19="","SIN DATO",IF($E19="mayor",IF(X19&gt;$G19,"ROJO",IF(X19&gt;$F19,"AMARILLO","VERDE")),IF($E19="menor",IF(X19&lt;$G19,"ROJO",IF(X19&lt;$F19,"AMARILLO","VERDE")),IF(ABS(X19)&gt;$G19,"ROJO",IF(ABS(X19)&gt;$F19,"AMARILLO","VERDE")))))</f>
        <v/>
      </c>
      <c r="AK19" s="13">
        <f>IF(Y19="","SIN DATO",IF($E19="mayor",IF(Y19&gt;$G19,"ROJO",IF(Y19&gt;$F19,"AMARILLO","VERDE")),IF($E19="menor",IF(Y19&lt;$G19,"ROJO",IF(Y19&lt;$F19,"AMARILLO","VERDE")),IF(ABS(Y19)&gt;$G19,"ROJO",IF(ABS(Y19)&gt;$F19,"AMARILLO","VERDE")))))</f>
        <v/>
      </c>
      <c r="AL19" s="14">
        <f>IF(INDEX(N19:Y19,1,$C$3)="","—",INDEX(N19:Y19,1,$C$3))</f>
        <v/>
      </c>
      <c r="AM19" s="13">
        <f>INDEX(Z19:AK19,1,$C$3)</f>
        <v/>
      </c>
      <c r="AN19" s="13">
        <f>IF($C$3-M19&lt;1,"SIN DATO",INDEX(Z19:AK19,1,$C$3-M19))</f>
        <v/>
      </c>
      <c r="AO19" s="13">
        <f>IF(AND(OR(AM19="AMARILLO",AM19="ROJO"),OR(AN19="AMARILLO",AN19="ROJO")),"SÍ","no")</f>
        <v/>
      </c>
      <c r="AP19" s="13">
        <f>IF(AM19="ROJO","SÍ","no")</f>
        <v/>
      </c>
    </row>
    <row r="21">
      <c r="Y21" s="5" t="inlineStr">
        <is>
          <t># AMARILLO</t>
        </is>
      </c>
      <c r="Z21">
        <f>COUNTIF(Z6:Z19,"AMARILLO")</f>
        <v/>
      </c>
      <c r="AA21">
        <f>COUNTIF(AA6:AA19,"AMARILLO")</f>
        <v/>
      </c>
      <c r="AB21">
        <f>COUNTIF(AB6:AB19,"AMARILLO")</f>
        <v/>
      </c>
      <c r="AC21">
        <f>COUNTIF(AC6:AC19,"AMARILLO")</f>
        <v/>
      </c>
      <c r="AD21">
        <f>COUNTIF(AD6:AD19,"AMARILLO")</f>
        <v/>
      </c>
      <c r="AE21">
        <f>COUNTIF(AE6:AE19,"AMARILLO")</f>
        <v/>
      </c>
      <c r="AF21">
        <f>COUNTIF(AF6:AF19,"AMARILLO")</f>
        <v/>
      </c>
      <c r="AG21">
        <f>COUNTIF(AG6:AG19,"AMARILLO")</f>
        <v/>
      </c>
      <c r="AH21">
        <f>COUNTIF(AH6:AH19,"AMARILLO")</f>
        <v/>
      </c>
      <c r="AI21">
        <f>COUNTIF(AI6:AI19,"AMARILLO")</f>
        <v/>
      </c>
      <c r="AJ21">
        <f>COUNTIF(AJ6:AJ19,"AMARILLO")</f>
        <v/>
      </c>
      <c r="AK21">
        <f>COUNTIF(AK6:AK19,"AMARILLO")</f>
        <v/>
      </c>
    </row>
    <row r="22">
      <c r="Y22" s="5" t="inlineStr">
        <is>
          <t># ROJO</t>
        </is>
      </c>
      <c r="Z22">
        <f>COUNTIF(Z6:Z19,"ROJO")</f>
        <v/>
      </c>
      <c r="AA22">
        <f>COUNTIF(AA6:AA19,"ROJO")</f>
        <v/>
      </c>
      <c r="AB22">
        <f>COUNTIF(AB6:AB19,"ROJO")</f>
        <v/>
      </c>
      <c r="AC22">
        <f>COUNTIF(AC6:AC19,"ROJO")</f>
        <v/>
      </c>
      <c r="AD22">
        <f>COUNTIF(AD6:AD19,"ROJO")</f>
        <v/>
      </c>
      <c r="AE22">
        <f>COUNTIF(AE6:AE19,"ROJO")</f>
        <v/>
      </c>
      <c r="AF22">
        <f>COUNTIF(AF6:AF19,"ROJO")</f>
        <v/>
      </c>
      <c r="AG22">
        <f>COUNTIF(AG6:AG19,"ROJO")</f>
        <v/>
      </c>
      <c r="AH22">
        <f>COUNTIF(AH6:AH19,"ROJO")</f>
        <v/>
      </c>
      <c r="AI22">
        <f>COUNTIF(AI6:AI19,"ROJO")</f>
        <v/>
      </c>
      <c r="AJ22">
        <f>COUNTIF(AJ6:AJ19,"ROJO")</f>
        <v/>
      </c>
      <c r="AK22">
        <f>COUNTIF(AK6:AK19,"ROJO")</f>
        <v/>
      </c>
    </row>
    <row r="23">
      <c r="Y23" s="5" t="inlineStr">
        <is>
          <t># con dato</t>
        </is>
      </c>
      <c r="Z23">
        <f>14-COUNTIF(Z6:Z19,"SIN DATO")</f>
        <v/>
      </c>
      <c r="AA23">
        <f>14-COUNTIF(AA6:AA19,"SIN DATO")</f>
        <v/>
      </c>
      <c r="AB23">
        <f>14-COUNTIF(AB6:AB19,"SIN DATO")</f>
        <v/>
      </c>
      <c r="AC23">
        <f>14-COUNTIF(AC6:AC19,"SIN DATO")</f>
        <v/>
      </c>
      <c r="AD23">
        <f>14-COUNTIF(AD6:AD19,"SIN DATO")</f>
        <v/>
      </c>
      <c r="AE23">
        <f>14-COUNTIF(AE6:AE19,"SIN DATO")</f>
        <v/>
      </c>
      <c r="AF23">
        <f>14-COUNTIF(AF6:AF19,"SIN DATO")</f>
        <v/>
      </c>
      <c r="AG23">
        <f>14-COUNTIF(AG6:AG19,"SIN DATO")</f>
        <v/>
      </c>
      <c r="AH23">
        <f>14-COUNTIF(AH6:AH19,"SIN DATO")</f>
        <v/>
      </c>
      <c r="AI23">
        <f>14-COUNTIF(AI6:AI19,"SIN DATO")</f>
        <v/>
      </c>
      <c r="AJ23">
        <f>14-COUNTIF(AJ6:AJ19,"SIN DATO")</f>
        <v/>
      </c>
      <c r="AK23">
        <f>14-COUNTIF(AK6:AK19,"SIN DATO")</f>
        <v/>
      </c>
    </row>
    <row r="24">
      <c r="Y24" s="5" t="inlineStr">
        <is>
          <t>P(≥1 🟡 por azar) = 1−(1−α)^m</t>
        </is>
      </c>
      <c r="Z24" s="15">
        <f>1-(1-$G$3)^Z23</f>
        <v/>
      </c>
      <c r="AA24" s="15">
        <f>1-(1-$G$3)^AA23</f>
        <v/>
      </c>
      <c r="AB24" s="15">
        <f>1-(1-$G$3)^AB23</f>
        <v/>
      </c>
      <c r="AC24" s="15">
        <f>1-(1-$G$3)^AC23</f>
        <v/>
      </c>
      <c r="AD24" s="15">
        <f>1-(1-$G$3)^AD23</f>
        <v/>
      </c>
      <c r="AE24" s="15">
        <f>1-(1-$G$3)^AE23</f>
        <v/>
      </c>
      <c r="AF24" s="15">
        <f>1-(1-$G$3)^AF23</f>
        <v/>
      </c>
      <c r="AG24" s="15">
        <f>1-(1-$G$3)^AG23</f>
        <v/>
      </c>
      <c r="AH24" s="15">
        <f>1-(1-$G$3)^AH23</f>
        <v/>
      </c>
      <c r="AI24" s="15">
        <f>1-(1-$G$3)^AI23</f>
        <v/>
      </c>
      <c r="AJ24" s="15">
        <f>1-(1-$G$3)^AJ23</f>
        <v/>
      </c>
      <c r="AK24" s="15">
        <f>1-(1-$G$3)^AK23</f>
        <v/>
      </c>
    </row>
    <row r="26" ht="45" customHeight="1">
      <c r="A26" s="2" t="inlineStr">
        <is>
          <t>Nota: la fila de probabilidad trata cada indicador con dato como un test al nivel α. Para los de convención (PSI, CSI, mix) el α real depende del tamaño muestral (ver M08) y R4 vale por 8 tests (su α real es 1−0,95^8 = 34%).</t>
        </is>
      </c>
    </row>
  </sheetData>
  <mergeCells count="1">
    <mergeCell ref="A26:L26"/>
  </mergeCells>
  <conditionalFormatting sqref="Z6:AN19">
    <cfRule type="cellIs" priority="1" operator="equal" dxfId="0">
      <formula>"VERDE"</formula>
    </cfRule>
    <cfRule type="cellIs" priority="2" operator="equal" dxfId="1">
      <formula>"AMARILLO"</formula>
    </cfRule>
    <cfRule type="cellIs" priority="3" operator="equal" dxfId="2">
      <formula>"ROJO"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24" customWidth="1" min="1" max="1"/>
    <col width="95"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4" t="inlineStr">
        <is>
          <t>Diagnóstico por patrón en el mes de corte (árbol: datos → orden → nivel → población → negocio)</t>
        </is>
      </c>
    </row>
    <row r="2">
      <c r="A2" t="inlineStr">
        <is>
          <t>Un indicador cuenta si está 🟡/🔴 en el mes de corte Y en su medición anterior (persistente: mes anterior si es mensual, trimestre anterior si es trimestral), o si está ROJO al corte.</t>
        </is>
      </c>
    </row>
    <row r="4">
      <c r="A4" s="16" t="inlineStr">
        <is>
          <t>familia</t>
        </is>
      </c>
      <c r="B4" s="16" t="inlineStr">
        <is>
          <t>indicadores</t>
        </is>
      </c>
      <c r="C4" s="16" t="inlineStr">
        <is>
          <t># persistentes</t>
        </is>
      </c>
      <c r="D4" s="16" t="inlineStr">
        <is>
          <t># rojos al corte</t>
        </is>
      </c>
      <c r="E4" s="16" t="inlineStr">
        <is>
          <t>mínimo para encender</t>
        </is>
      </c>
      <c r="F4" s="16" t="inlineStr">
        <is>
          <t>cuenta (máx. de ambas)</t>
        </is>
      </c>
      <c r="G4" s="16" t="inlineStr">
        <is>
          <t>¿encendida?</t>
        </is>
      </c>
      <c r="H4" s="16" t="inlineStr">
        <is>
          <t># 🟡/🔴 al corte (sin exigir persistencia)</t>
        </is>
      </c>
      <c r="I4" s="16" t="inlineStr">
        <is>
          <t>¿señal incipiente?</t>
        </is>
      </c>
    </row>
    <row r="5">
      <c r="A5" s="5" t="inlineStr">
        <is>
          <t>datos</t>
        </is>
      </c>
      <c r="B5" t="inlineStr">
        <is>
          <t>D1</t>
        </is>
      </c>
      <c r="C5">
        <f>COUNTIFS(Tablero!$B$6:$B$19,"datos",Tablero!$AO$6:$AO$19,"SÍ")</f>
        <v/>
      </c>
      <c r="D5">
        <f>COUNTIFS(Tablero!$B$6:$B$19,"datos",Tablero!$AP$6:$AP$19,"SÍ")</f>
        <v/>
      </c>
      <c r="E5" s="6" t="n">
        <v>1</v>
      </c>
      <c r="F5">
        <f>MAX(C5,D5)</f>
        <v/>
      </c>
      <c r="G5">
        <f>IF(F5&gt;=E5,"SÍ","NO")</f>
        <v/>
      </c>
      <c r="H5">
        <f>COUNTIFS(Tablero!$B$6:$B$19,"datos",Tablero!$AM$6:$AM$19,"AMARILLO")+COUNTIFS(Tablero!$B$6:$B$19,"datos",Tablero!$AM$6:$AM$19,"ROJO")</f>
        <v/>
      </c>
      <c r="I5">
        <f>IF(AND(G5="NO",H5&gt;=MAX(2,E5)),"SÍ: vigilar","no")</f>
        <v/>
      </c>
    </row>
    <row r="6">
      <c r="A6" s="5" t="inlineStr">
        <is>
          <t>orden</t>
        </is>
      </c>
      <c r="B6" t="inlineStr">
        <is>
          <t>O1, O2</t>
        </is>
      </c>
      <c r="C6">
        <f>COUNTIFS(Tablero!$B$6:$B$19,"orden",Tablero!$AO$6:$AO$19,"SÍ")</f>
        <v/>
      </c>
      <c r="D6">
        <f>COUNTIFS(Tablero!$B$6:$B$19,"orden",Tablero!$AP$6:$AP$19,"SÍ")</f>
        <v/>
      </c>
      <c r="E6" s="6" t="n">
        <v>1</v>
      </c>
      <c r="F6">
        <f>MAX(C6,D6)</f>
        <v/>
      </c>
      <c r="G6">
        <f>IF(F6&gt;=E6,"SÍ","NO")</f>
        <v/>
      </c>
      <c r="H6">
        <f>COUNTIFS(Tablero!$B$6:$B$19,"orden",Tablero!$AM$6:$AM$19,"AMARILLO")+COUNTIFS(Tablero!$B$6:$B$19,"orden",Tablero!$AM$6:$AM$19,"ROJO")</f>
        <v/>
      </c>
      <c r="I6">
        <f>IF(AND(G6="NO",H6&gt;=MAX(2,E6)),"SÍ: vigilar","no")</f>
        <v/>
      </c>
    </row>
    <row r="7">
      <c r="A7" s="5" t="inlineStr">
        <is>
          <t>nivel</t>
        </is>
      </c>
      <c r="B7" t="inlineStr">
        <is>
          <t>A1, A2, L1, L2, L3, C1</t>
        </is>
      </c>
      <c r="C7">
        <f>COUNTIFS(Tablero!$B$6:$B$19,"nivel",Tablero!$AO$6:$AO$19,"SÍ")+COUNTIFS(Tablero!$B$6:$B$19,"adelantado",Tablero!$AO$6:$AO$19,"SÍ")+COUNTIFS(Tablero!$B$6:$B$19,"cohortes",Tablero!$AO$6:$AO$19,"SÍ")</f>
        <v/>
      </c>
      <c r="D7">
        <f>COUNTIFS(Tablero!$B$6:$B$19,"nivel",Tablero!$AP$6:$AP$19,"SÍ")+COUNTIFS(Tablero!$B$6:$B$19,"adelantado",Tablero!$AP$6:$AP$19,"SÍ")+COUNTIFS(Tablero!$B$6:$B$19,"cohortes",Tablero!$AP$6:$AP$19,"SÍ")</f>
        <v/>
      </c>
      <c r="E7" s="6" t="n">
        <v>2</v>
      </c>
      <c r="F7">
        <f>MAX(C7,D7)</f>
        <v/>
      </c>
      <c r="G7">
        <f>IF(F7&gt;=E7,"SÍ","NO")</f>
        <v/>
      </c>
      <c r="H7">
        <f>COUNTIFS(Tablero!$B$6:$B$19,"nivel",Tablero!$AM$6:$AM$19,"AMARILLO")+COUNTIFS(Tablero!$B$6:$B$19,"nivel",Tablero!$AM$6:$AM$19,"ROJO")+COUNTIFS(Tablero!$B$6:$B$19,"adelantado",Tablero!$AM$6:$AM$19,"AMARILLO")+COUNTIFS(Tablero!$B$6:$B$19,"adelantado",Tablero!$AM$6:$AM$19,"ROJO")+COUNTIFS(Tablero!$B$6:$B$19,"cohortes",Tablero!$AM$6:$AM$19,"AMARILLO")+COUNTIFS(Tablero!$B$6:$B$19,"cohortes",Tablero!$AM$6:$AM$19,"ROJO")</f>
        <v/>
      </c>
      <c r="I7">
        <f>IF(AND(G7="NO",H7&gt;=MAX(2,E7)),"SÍ: vigilar","no")</f>
        <v/>
      </c>
    </row>
    <row r="8">
      <c r="A8" s="5" t="inlineStr">
        <is>
          <t>población</t>
        </is>
      </c>
      <c r="B8" t="inlineStr">
        <is>
          <t>P1, P2, P3</t>
        </is>
      </c>
      <c r="C8">
        <f>COUNTIFS(Tablero!$B$6:$B$19,"población",Tablero!$AO$6:$AO$19,"SÍ")</f>
        <v/>
      </c>
      <c r="D8">
        <f>COUNTIFS(Tablero!$B$6:$B$19,"población",Tablero!$AP$6:$AP$19,"SÍ")</f>
        <v/>
      </c>
      <c r="E8" s="6" t="n">
        <v>2</v>
      </c>
      <c r="F8">
        <f>MAX(C8,D8)</f>
        <v/>
      </c>
      <c r="G8">
        <f>IF(F8&gt;=E8,"SÍ","NO")</f>
        <v/>
      </c>
      <c r="H8">
        <f>COUNTIFS(Tablero!$B$6:$B$19,"población",Tablero!$AM$6:$AM$19,"AMARILLO")+COUNTIFS(Tablero!$B$6:$B$19,"población",Tablero!$AM$6:$AM$19,"ROJO")</f>
        <v/>
      </c>
      <c r="I8">
        <f>IF(AND(G8="NO",H8&gt;=MAX(2,E8)),"SÍ: vigilar","no")</f>
        <v/>
      </c>
    </row>
    <row r="9">
      <c r="A9" s="5" t="inlineStr">
        <is>
          <t>negocio</t>
        </is>
      </c>
      <c r="B9" t="inlineStr">
        <is>
          <t>N1, N2</t>
        </is>
      </c>
      <c r="C9">
        <f>COUNTIFS(Tablero!$B$6:$B$19,"negocio",Tablero!$AO$6:$AO$19,"SÍ")</f>
        <v/>
      </c>
      <c r="D9">
        <f>COUNTIFS(Tablero!$B$6:$B$19,"negocio",Tablero!$AP$6:$AP$19,"SÍ")</f>
        <v/>
      </c>
      <c r="E9" s="6" t="n">
        <v>1</v>
      </c>
      <c r="F9">
        <f>MAX(C9,D9)</f>
        <v/>
      </c>
      <c r="G9">
        <f>IF(F9&gt;=E9,"SÍ","NO")</f>
        <v/>
      </c>
      <c r="H9">
        <f>COUNTIFS(Tablero!$B$6:$B$19,"negocio",Tablero!$AM$6:$AM$19,"AMARILLO")+COUNTIFS(Tablero!$B$6:$B$19,"negocio",Tablero!$AM$6:$AM$19,"ROJO")</f>
        <v/>
      </c>
      <c r="I9">
        <f>IF(AND(G9="NO",H9&gt;=MAX(2,E9)),"SÍ: vigilar","no")</f>
        <v/>
      </c>
    </row>
    <row r="10">
      <c r="A10" s="5" t="inlineStr">
        <is>
          <t>Lectura</t>
        </is>
      </c>
      <c r="B10" s="2" t="inlineStr">
        <is>
          <t>Familia encendida = patrón sostenido → acción del árbol. Señal incipiente = varios amarillos coherentes en UNA medición → vigilancia reforzada y acción PROGRAMADA si se sostiene (la lectura del curso para Austral).</t>
        </is>
      </c>
    </row>
    <row r="12">
      <c r="A12" s="5" t="inlineStr">
        <is>
          <t>Diagnóstico</t>
        </is>
      </c>
      <c r="B12" s="4">
        <f>IF(G5="SÍ","DATOS ROTOS",IF(G6="SÍ","ORDEN ROTO",IF(AND(G7="SÍ",G8="SÍ"),"NIVEL + POBLACIÓN",IF(G7="SÍ","NIVEL",IF(G8="SÍ","POBLACIÓN",IF(G9="SÍ","POLÍTICA / NEGOCIO","SIN SEÑAL"))))))</f>
        <v/>
      </c>
    </row>
    <row r="13">
      <c r="A13" s="5" t="inlineStr">
        <is>
          <t>Acción proporcional</t>
        </is>
      </c>
      <c r="B13" s="2">
        <f>INDEX(B16:B22,MATCH(B12,A16:A22,0))</f>
        <v/>
      </c>
    </row>
    <row r="15">
      <c r="A15" s="5" t="inlineStr">
        <is>
          <t>Tabla de acciones (editable)</t>
        </is>
      </c>
    </row>
    <row r="16">
      <c r="A16" t="inlineStr">
        <is>
          <t>DATOS ROTOS</t>
        </is>
      </c>
      <c r="B16" t="inlineStr">
        <is>
          <t>Contingencia de datos: filas afectadas a política experta, corregir feed, re-puntuar. NO recalibrar.</t>
        </is>
      </c>
    </row>
    <row r="17">
      <c r="A17" t="inlineStr">
        <is>
          <t>ORDEN ROTO</t>
        </is>
      </c>
      <c r="B17" t="inlineStr">
        <is>
          <t>Re-desarrollo (tras descartar datos y política); mientras, recalibración provisional y cutoff conservador.</t>
        </is>
      </c>
    </row>
    <row r="18">
      <c r="A18" t="inlineStr">
        <is>
          <t>NIVEL + POBLACIÓN</t>
        </is>
      </c>
      <c r="B18" t="inlineStr">
        <is>
          <t>Recalibrar δ y buscar variables fuera del modelo que se movieron.</t>
        </is>
      </c>
    </row>
    <row r="19">
      <c r="A19" t="inlineStr">
        <is>
          <t>NIVEL</t>
        </is>
      </c>
      <c r="B19" t="inlineStr">
        <is>
          <t>Recalibrar δ con muestra reciente y madura declarada; vigilancia reforzada.</t>
        </is>
      </c>
    </row>
    <row r="20">
      <c r="A20" t="inlineStr">
        <is>
          <t>POBLACIÓN</t>
        </is>
      </c>
      <c r="B20" t="inlineStr">
        <is>
          <t>Modelo válido: revisar estrategia/cutoff; verificar calibración por banda.</t>
        </is>
      </c>
    </row>
    <row r="21">
      <c r="A21" t="inlineStr">
        <is>
          <t>POLÍTICA / NEGOCIO</t>
        </is>
      </c>
      <c r="B21" t="inlineStr">
        <is>
          <t>Revisar overrides y aprobación con el dueño comercial; no tocar el modelo.</t>
        </is>
      </c>
    </row>
    <row r="22">
      <c r="A22" t="inlineStr">
        <is>
          <t>SIN SEÑAL</t>
        </is>
      </c>
      <c r="B22" t="inlineStr">
        <is>
          <t>Vigilancia normal.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6" customWidth="1" min="1" max="1"/>
    <col width="48" customWidth="1" min="2" max="2"/>
    <col width="46" customWidth="1" min="3" max="3"/>
    <col width="11" customWidth="1" min="4" max="4"/>
    <col width="30" customWidth="1" min="5" max="5"/>
    <col width="55" customWidth="1" min="6" max="6"/>
    <col width="26" customWidth="1" min="7" max="7"/>
  </cols>
  <sheetData>
    <row r="1">
      <c r="A1" s="4" t="inlineStr">
        <is>
          <t>Gatillos de cinco partes (clase 6): condición · valor de hoy · quién decide · acción · plazo</t>
        </is>
      </c>
    </row>
    <row r="2">
      <c r="A2" t="inlineStr">
        <is>
          <t>«disparado» se calcula desde la condición. Jerarquía: vigilancia → recalibración δ → re-desarrollo → contingencia.</t>
        </is>
      </c>
    </row>
    <row r="4">
      <c r="A4" s="16" t="inlineStr">
        <is>
          <t>gatillo</t>
        </is>
      </c>
      <c r="B4" s="16" t="inlineStr">
        <is>
          <t>condición</t>
        </is>
      </c>
      <c r="C4" s="16" t="inlineStr">
        <is>
          <t>valor de hoy</t>
        </is>
      </c>
      <c r="D4" s="16" t="inlineStr">
        <is>
          <t>disparado</t>
        </is>
      </c>
      <c r="E4" s="16" t="inlineStr">
        <is>
          <t>quién decide</t>
        </is>
      </c>
      <c r="F4" s="16" t="inlineStr">
        <is>
          <t>acción</t>
        </is>
      </c>
      <c r="G4" s="16" t="inlineStr">
        <is>
          <t>plazo</t>
        </is>
      </c>
    </row>
    <row r="5">
      <c r="A5" s="9" t="inlineStr">
        <is>
          <t>Vigilancia reforzada</t>
        </is>
      </c>
      <c r="B5" s="9" t="inlineStr">
        <is>
          <t>≥1 indicador 🟡/🔴 persistente (2 meses) o cualquier 🔴 al corte</t>
        </is>
      </c>
      <c r="C5" s="9">
        <f>"amarillos "&amp;COUNTIF(Tablero!AM6:AM19,"AMARILLO")&amp;" · rojos "&amp;COUNTIF(Tablero!AM6:AM19,"ROJO")&amp;" · persistentes "&amp;COUNTIF(Tablero!AO6:AO19,"SÍ")</f>
        <v/>
      </c>
      <c r="D5" s="9">
        <f>IF(OR(COUNTIF(Tablero!AO6:AO19,"SÍ")&gt;0,COUNTIF(Tablero!AM6:AM19,"ROJO")&gt;0),"SÍ","no")</f>
        <v/>
      </c>
      <c r="E5" s="9" t="inlineStr">
        <is>
          <t>Jefe de Modelos</t>
        </is>
      </c>
      <c r="F5" s="9" t="inlineStr">
        <is>
          <t>Análisis por segmento/canal; CUSUM de mora temprana; frecuencia doble</t>
        </is>
      </c>
      <c r="G5" s="9" t="inlineStr">
        <is>
          <t>Informe en 10 días hábiles; dura 2 meses</t>
        </is>
      </c>
    </row>
    <row r="6">
      <c r="A6" s="9" t="inlineStr">
        <is>
          <t>Contingencia de datos</t>
        </is>
      </c>
      <c r="B6" s="9" t="inlineStr">
        <is>
          <t>D1 &gt; umbral amarillo (violaciones de contrato)</t>
        </is>
      </c>
      <c r="C6" s="9">
        <f>"D1 = "&amp;Tablero!AL6</f>
        <v/>
      </c>
      <c r="D6" s="9">
        <f>IF(OR(Tablero!AM6="AMARILLO",Tablero!AM6="ROJO"),"SÍ","no")</f>
        <v/>
      </c>
      <c r="E6" s="9" t="inlineStr">
        <is>
          <t>Dueño del dato (TI) + Jefe de Modelos</t>
        </is>
      </c>
      <c r="F6" s="9" t="inlineStr">
        <is>
          <t>Filas con violación a política experta; corregir feed; re-puntuar</t>
        </is>
      </c>
      <c r="G6" s="9" t="inlineStr">
        <is>
          <t>24–48 horas</t>
        </is>
      </c>
    </row>
    <row r="7">
      <c r="A7" s="9" t="inlineStr">
        <is>
          <t>Recalibración del δ</t>
        </is>
      </c>
      <c r="B7" s="9" t="inlineStr">
        <is>
          <t>Familia NIVEL encendida con ORDEN y DATOS apagados (hoja Diagnostico)</t>
        </is>
      </c>
      <c r="C7" s="9">
        <f>"nivel: "&amp;Diagnostico!G7&amp;" · binomial p = "&amp;Tablero!AL16&amp;" · HL p = "&amp;Tablero!AL18</f>
        <v/>
      </c>
      <c r="D7" s="9">
        <f>IF(AND(Diagnostico!G7="SÍ",Diagnostico!G6="NO",Diagnostico!G5="NO"),"SÍ","no")</f>
        <v/>
      </c>
      <c r="E7" s="9" t="inlineStr">
        <is>
          <t>Comité de Modelos (A), propone Jefe de Modelos (R)</t>
        </is>
      </c>
      <c r="F7" s="9" t="inlineStr">
        <is>
          <t>Re-anclar δ con muestra reciente y madura declarada; acta; versión menor</t>
        </is>
      </c>
      <c r="G7" s="9" t="inlineStr">
        <is>
          <t>Propuesta en 30 días</t>
        </is>
      </c>
    </row>
    <row r="8">
      <c r="A8" s="9" t="inlineStr">
        <is>
          <t>Re-desarrollo</t>
        </is>
      </c>
      <c r="B8" s="9" t="inlineStr">
        <is>
          <t>Caída relativa de Gini &gt; 30% o KS &lt; 0,20 (rojo en O1 o O2), descartados datos</t>
        </is>
      </c>
      <c r="C8" s="9">
        <f>"caída Gini = "&amp;Tablero!AL14&amp;"% · KS = "&amp;Tablero!AL15</f>
        <v/>
      </c>
      <c r="D8" s="9">
        <f>IF(AND(OR(Tablero!AM14="ROJO",Tablero!AM15="ROJO"),Diagnostico!G5="NO"),"SÍ","no")</f>
        <v/>
      </c>
      <c r="E8" s="9" t="inlineStr">
        <is>
          <t>Comité de Riesgo</t>
        </is>
      </c>
      <c r="F8" s="9" t="inlineStr">
        <is>
          <t>Abrir proyecto; mientras, recalibración provisional y cutoff conservador</t>
        </is>
      </c>
      <c r="G8" s="9" t="inlineStr">
        <is>
          <t>Plan en 60 días</t>
        </is>
      </c>
    </row>
    <row r="9">
      <c r="A9" s="9" t="inlineStr">
        <is>
          <t>Revisión de estrategia</t>
        </is>
      </c>
      <c r="B9" s="9" t="inlineStr">
        <is>
          <t>Familia POBLACIÓN encendida (≥2 de P1–P3)</t>
        </is>
      </c>
      <c r="C9" s="9">
        <f>"PSI = "&amp;Tablero!AL7&amp;" · CSI máx = "&amp;Tablero!AL8&amp;" · mix = "&amp;Tablero!AL9</f>
        <v/>
      </c>
      <c r="D9" s="9">
        <f>IF(Diagnostico!G8="SÍ","SÍ","no")</f>
        <v/>
      </c>
      <c r="E9" s="9" t="inlineStr">
        <is>
          <t>Gerencia de Riesgo de Crédito</t>
        </is>
      </c>
      <c r="F9" s="9" t="inlineStr">
        <is>
          <t>Re-evaluar cutoff y límites por banda; verificar calibración por banda</t>
        </is>
      </c>
      <c r="G9" s="9" t="inlineStr">
        <is>
          <t>60 días</t>
        </is>
      </c>
    </row>
    <row r="10">
      <c r="A10" s="9" t="inlineStr">
        <is>
          <t>Revisión de política comercial</t>
        </is>
      </c>
      <c r="B10" s="9" t="inlineStr">
        <is>
          <t>Familia NEGOCIO encendida (N1 o N2 persistente o rojo)</t>
        </is>
      </c>
      <c r="C10" s="9">
        <f>"override rate = "&amp;Tablero!AL11</f>
        <v/>
      </c>
      <c r="D10" s="9">
        <f>IF(Diagnostico!G9="SÍ","SÍ","no")</f>
        <v/>
      </c>
      <c r="E10" s="9" t="inlineStr">
        <is>
          <t>Comité de Crédito</t>
        </is>
      </c>
      <c r="F10" s="9" t="inlineStr">
        <is>
          <t>Auditar overrides por gestor y motivo; O/E de overrides</t>
        </is>
      </c>
      <c r="G10" s="9" t="inlineStr">
        <is>
          <t>30 días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0" customWidth="1" min="1" max="1"/>
    <col width="12" customWidth="1" min="2" max="2"/>
    <col width="18" customWidth="1" min="7" max="7"/>
    <col width="18" customWidth="1" min="8" max="8"/>
    <col width="18" customWidth="1" min="9" max="9"/>
    <col width="18" customWidth="1" min="10" max="10"/>
  </cols>
  <sheetData>
    <row r="1">
      <c r="A1" s="4" t="inlineStr">
        <is>
          <t>Cuántas falsas alarmas esperar y cuánto demora la detección</t>
        </is>
      </c>
    </row>
    <row r="2">
      <c r="D2" s="5" t="inlineStr">
        <is>
          <t>Multiplicidad: P(≥1 amarillo por azar) con m tests independientes</t>
        </is>
      </c>
      <c r="G2" s="5" t="inlineStr">
        <is>
          <t>ARL (meses hasta la alarma) · CUSUM superior por aproximación de Siegmund; Shewhart exacto</t>
        </is>
      </c>
    </row>
    <row r="3">
      <c r="A3" s="5" t="inlineStr">
        <is>
          <t>α por test</t>
        </is>
      </c>
      <c r="B3" s="7" t="n">
        <v>0.05</v>
      </c>
      <c r="D3" s="5" t="inlineStr">
        <is>
          <t>m</t>
        </is>
      </c>
      <c r="E3" s="5" t="inlineStr">
        <is>
          <t>1−(1−α)^m</t>
        </is>
      </c>
      <c r="G3" s="17" t="inlineStr">
        <is>
          <t>δ (σ)</t>
        </is>
      </c>
      <c r="H3" s="17" t="inlineStr">
        <is>
          <t>CUSUM Siegmund (unilateral)</t>
        </is>
      </c>
      <c r="I3" s="17" t="inlineStr">
        <is>
          <t>Shewhart 3σ (bilateral)</t>
        </is>
      </c>
      <c r="J3" s="17" t="inlineStr">
        <is>
          <t>semáforo 1,96σ (bilateral)</t>
        </is>
      </c>
    </row>
    <row r="4">
      <c r="A4" s="5" t="inlineStr">
        <is>
          <t>CUSUM k (σ)</t>
        </is>
      </c>
      <c r="B4" s="7" t="n">
        <v>0.5</v>
      </c>
      <c r="D4" t="n">
        <v>1</v>
      </c>
      <c r="E4" s="15">
        <f>1-(1-$B$3)^D4</f>
        <v/>
      </c>
      <c r="G4" t="n">
        <v>0</v>
      </c>
      <c r="H4" s="18">
        <f>IF(ABS((G4-$B$4))&lt;0.000001,($B$5+1.166)^2,(EXP(-2*(G4-$B$4)*($B$5+1.166))+2*(G4-$B$4)*($B$5+1.166)-1)/(2*(G4-$B$4)^2))</f>
        <v/>
      </c>
      <c r="I4" s="18">
        <f>1/(1-_xlfn.NORM.S.DIST(3-G4,TRUE)+_xlfn.NORM.S.DIST(-3-G4,TRUE))</f>
        <v/>
      </c>
      <c r="J4" s="18">
        <f>1/(1-_xlfn.NORM.S.DIST(1.96-G4,TRUE)+_xlfn.NORM.S.DIST(-1.96-G4,TRUE))</f>
        <v/>
      </c>
    </row>
    <row r="5">
      <c r="A5" s="5" t="inlineStr">
        <is>
          <t>CUSUM h (σ)</t>
        </is>
      </c>
      <c r="B5" s="19" t="n">
        <v>4</v>
      </c>
      <c r="D5" t="n">
        <v>2</v>
      </c>
      <c r="E5" s="15">
        <f>1-(1-$B$3)^D5</f>
        <v/>
      </c>
      <c r="G5" t="n">
        <v>0.25</v>
      </c>
      <c r="H5" s="18">
        <f>IF(ABS((G5-$B$4))&lt;0.000001,($B$5+1.166)^2,(EXP(-2*(G5-$B$4)*($B$5+1.166))+2*(G5-$B$4)*($B$5+1.166)-1)/(2*(G5-$B$4)^2))</f>
        <v/>
      </c>
      <c r="I5" s="18">
        <f>1/(1-_xlfn.NORM.S.DIST(3-G5,TRUE)+_xlfn.NORM.S.DIST(-3-G5,TRUE))</f>
        <v/>
      </c>
      <c r="J5" s="18">
        <f>1/(1-_xlfn.NORM.S.DIST(1.96-G5,TRUE)+_xlfn.NORM.S.DIST(-1.96-G5,TRUE))</f>
        <v/>
      </c>
    </row>
    <row r="6">
      <c r="A6" s="5" t="inlineStr">
        <is>
          <t>n aprobados por mes</t>
        </is>
      </c>
      <c r="B6" s="20" t="n">
        <v>1200</v>
      </c>
      <c r="D6" t="n">
        <v>3</v>
      </c>
      <c r="E6" s="15">
        <f>1-(1-$B$3)^D6</f>
        <v/>
      </c>
      <c r="G6" t="n">
        <v>0.5</v>
      </c>
      <c r="H6" s="18">
        <f>IF(ABS((G6-$B$4))&lt;0.000001,($B$5+1.166)^2,(EXP(-2*(G6-$B$4)*($B$5+1.166))+2*(G6-$B$4)*($B$5+1.166)-1)/(2*(G6-$B$4)^2))</f>
        <v/>
      </c>
      <c r="I6" s="18">
        <f>1/(1-_xlfn.NORM.S.DIST(3-G6,TRUE)+_xlfn.NORM.S.DIST(-3-G6,TRUE))</f>
        <v/>
      </c>
      <c r="J6" s="18">
        <f>1/(1-_xlfn.NORM.S.DIST(1.96-G6,TRUE)+_xlfn.NORM.S.DIST(-1.96-G6,TRUE))</f>
        <v/>
      </c>
    </row>
    <row r="7">
      <c r="A7" s="5" t="inlineStr">
        <is>
          <t>tasa base mora 30+ MOB3</t>
        </is>
      </c>
      <c r="B7" s="21" t="n">
        <v>0.03</v>
      </c>
      <c r="D7" t="n">
        <v>4</v>
      </c>
      <c r="E7" s="15">
        <f>1-(1-$B$3)^D7</f>
        <v/>
      </c>
      <c r="G7" t="n">
        <v>0.75</v>
      </c>
      <c r="H7" s="18">
        <f>IF(ABS((G7-$B$4))&lt;0.000001,($B$5+1.166)^2,(EXP(-2*(G7-$B$4)*($B$5+1.166))+2*(G7-$B$4)*($B$5+1.166)-1)/(2*(G7-$B$4)^2))</f>
        <v/>
      </c>
      <c r="I7" s="18">
        <f>1/(1-_xlfn.NORM.S.DIST(3-G7,TRUE)+_xlfn.NORM.S.DIST(-3-G7,TRUE))</f>
        <v/>
      </c>
      <c r="J7" s="18">
        <f>1/(1-_xlfn.NORM.S.DIST(1.96-G7,TRUE)+_xlfn.NORM.S.DIST(-1.96-G7,TRUE))</f>
        <v/>
      </c>
    </row>
    <row r="8">
      <c r="A8" s="5" t="inlineStr">
        <is>
          <t>deterioro relativo a detectar</t>
        </is>
      </c>
      <c r="B8" s="22" t="n">
        <v>0.2</v>
      </c>
      <c r="D8" t="n">
        <v>5</v>
      </c>
      <c r="E8" s="15">
        <f>1-(1-$B$3)^D8</f>
        <v/>
      </c>
      <c r="G8" t="n">
        <v>1</v>
      </c>
      <c r="H8" s="18">
        <f>IF(ABS((G8-$B$4))&lt;0.000001,($B$5+1.166)^2,(EXP(-2*(G8-$B$4)*($B$5+1.166))+2*(G8-$B$4)*($B$5+1.166)-1)/(2*(G8-$B$4)^2))</f>
        <v/>
      </c>
      <c r="I8" s="18">
        <f>1/(1-_xlfn.NORM.S.DIST(3-G8,TRUE)+_xlfn.NORM.S.DIST(-3-G8,TRUE))</f>
        <v/>
      </c>
      <c r="J8" s="18">
        <f>1/(1-_xlfn.NORM.S.DIST(1.96-G8,TRUE)+_xlfn.NORM.S.DIST(-1.96-G8,TRUE))</f>
        <v/>
      </c>
    </row>
    <row r="9">
      <c r="D9" t="n">
        <v>6</v>
      </c>
      <c r="E9" s="15">
        <f>1-(1-$B$3)^D9</f>
        <v/>
      </c>
      <c r="G9" t="n">
        <v>1.5</v>
      </c>
      <c r="H9" s="18">
        <f>IF(ABS((G9-$B$4))&lt;0.000001,($B$5+1.166)^2,(EXP(-2*(G9-$B$4)*($B$5+1.166))+2*(G9-$B$4)*($B$5+1.166)-1)/(2*(G9-$B$4)^2))</f>
        <v/>
      </c>
      <c r="I9" s="18">
        <f>1/(1-_xlfn.NORM.S.DIST(3-G9,TRUE)+_xlfn.NORM.S.DIST(-3-G9,TRUE))</f>
        <v/>
      </c>
      <c r="J9" s="18">
        <f>1/(1-_xlfn.NORM.S.DIST(1.96-G9,TRUE)+_xlfn.NORM.S.DIST(-1.96-G9,TRUE))</f>
        <v/>
      </c>
    </row>
    <row r="10">
      <c r="A10" s="5" t="inlineStr">
        <is>
          <t>σ mensual de la tasa (pp)</t>
        </is>
      </c>
      <c r="B10" s="23">
        <f>100*SQRT(B7*(1-B7)/B6)</f>
        <v/>
      </c>
      <c r="D10" t="n">
        <v>7</v>
      </c>
      <c r="E10" s="15">
        <f>1-(1-$B$3)^D10</f>
        <v/>
      </c>
      <c r="G10" t="n">
        <v>2</v>
      </c>
      <c r="H10" s="18">
        <f>IF(ABS((G10-$B$4))&lt;0.000001,($B$5+1.166)^2,(EXP(-2*(G10-$B$4)*($B$5+1.166))+2*(G10-$B$4)*($B$5+1.166)-1)/(2*(G10-$B$4)^2))</f>
        <v/>
      </c>
      <c r="I10" s="18">
        <f>1/(1-_xlfn.NORM.S.DIST(3-G10,TRUE)+_xlfn.NORM.S.DIST(-3-G10,TRUE))</f>
        <v/>
      </c>
      <c r="J10" s="18">
        <f>1/(1-_xlfn.NORM.S.DIST(1.96-G10,TRUE)+_xlfn.NORM.S.DIST(-1.96-G10,TRUE))</f>
        <v/>
      </c>
    </row>
    <row r="11">
      <c r="A11" s="5" t="inlineStr">
        <is>
          <t>δ del deterioro (en σ)</t>
        </is>
      </c>
      <c r="B11" s="23">
        <f>B7*B8/SQRT(B7*(1-B7)/B6)</f>
        <v/>
      </c>
      <c r="D11" t="n">
        <v>8</v>
      </c>
      <c r="E11" s="15">
        <f>1-(1-$B$3)^D11</f>
        <v/>
      </c>
      <c r="G11" t="n">
        <v>3</v>
      </c>
      <c r="H11" s="18">
        <f>IF(ABS((G11-$B$4))&lt;0.000001,($B$5+1.166)^2,(EXP(-2*(G11-$B$4)*($B$5+1.166))+2*(G11-$B$4)*($B$5+1.166)-1)/(2*(G11-$B$4)^2))</f>
        <v/>
      </c>
      <c r="I11" s="18">
        <f>1/(1-_xlfn.NORM.S.DIST(3-G11,TRUE)+_xlfn.NORM.S.DIST(-3-G11,TRUE))</f>
        <v/>
      </c>
      <c r="J11" s="18">
        <f>1/(1-_xlfn.NORM.S.DIST(1.96-G11,TRUE)+_xlfn.NORM.S.DIST(-1.96-G11,TRUE))</f>
        <v/>
      </c>
    </row>
    <row r="12">
      <c r="D12" t="n">
        <v>9</v>
      </c>
      <c r="E12" s="15">
        <f>1-(1-$B$3)^D12</f>
        <v/>
      </c>
    </row>
    <row r="13">
      <c r="D13" t="n">
        <v>10</v>
      </c>
      <c r="E13" s="15">
        <f>1-(1-$B$3)^D13</f>
        <v/>
      </c>
      <c r="G13" s="5" t="inlineStr">
        <is>
          <t>δ del deterioro →</t>
        </is>
      </c>
      <c r="H13" s="18">
        <f>IF(ABS(B11-$B$4)&lt;0.000001,($B$5+1.166)^2,(EXP(-2*(B11-$B$4)*($B$5+1.166))+2*(B11-$B$4)*($B$5+1.166)-1)/(2*(B11-$B$4)^2))</f>
        <v/>
      </c>
      <c r="I13" s="18">
        <f>1/(1-_xlfn.NORM.S.DIST(3-B11,TRUE)+_xlfn.NORM.S.DIST(-3-B11,TRUE))</f>
        <v/>
      </c>
      <c r="J13" s="18">
        <f>1/(1-_xlfn.NORM.S.DIST(1.96-B11,TRUE)+_xlfn.NORM.S.DIST(-1.96-B11,TRUE))</f>
        <v/>
      </c>
    </row>
    <row r="14">
      <c r="D14" t="n">
        <v>11</v>
      </c>
      <c r="E14" s="15">
        <f>1-(1-$B$3)^D14</f>
        <v/>
      </c>
    </row>
    <row r="15" ht="60" customHeight="1">
      <c r="D15" t="n">
        <v>12</v>
      </c>
      <c r="E15" s="15">
        <f>1-(1-$B$3)^D15</f>
        <v/>
      </c>
      <c r="G15" s="2" t="inlineStr">
        <is>
          <t>Siegmund: ARL ≈ [exp(−2Δb) + 2Δb − 1]/(2Δ²), Δ = δ − k, b = h + 1,166 (unilateral). Con k = 0,5 y h = 4 da ARL₀ ≈ 338; la tabla bilateral de Montgomery (168) es la mitad. Recuerda sumar el rezago del indicador (3 meses para MOB3).</t>
        </is>
      </c>
    </row>
    <row r="16">
      <c r="D16" t="n">
        <v>13</v>
      </c>
      <c r="E16" s="15">
        <f>1-(1-$B$3)^D16</f>
        <v/>
      </c>
    </row>
    <row r="17">
      <c r="D17" t="n">
        <v>14</v>
      </c>
      <c r="E17" s="15">
        <f>1-(1-$B$3)^D17</f>
        <v/>
      </c>
    </row>
    <row r="18">
      <c r="D18" t="n">
        <v>15</v>
      </c>
      <c r="E18" s="15">
        <f>1-(1-$B$3)^D18</f>
        <v/>
      </c>
    </row>
  </sheetData>
  <mergeCells count="1">
    <mergeCell ref="G15:J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2026-09-28T06:53:23Z</dcterms:created>
  <dcterms:modified xmlns:dcterms="http://purl.org/dc/terms/" xmlns:xsi="http://www.w3.org/2001/XMLSchema-instance" xsi:type="dcterms:W3CDTF">2026-09-28T06:53:23Z</dcterms:modified>
</cp:coreProperties>
</file>