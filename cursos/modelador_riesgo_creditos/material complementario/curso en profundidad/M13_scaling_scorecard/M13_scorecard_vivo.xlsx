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core_P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"/>
    <numFmt numFmtId="166" formatCode="0.000"/>
    <numFmt numFmtId="167" formatCode="0.0000"/>
    <numFmt numFmtId="168" formatCode="0.0E+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1" pivotButton="0" quotePrefix="0" xfId="0"/>
    <xf numFmtId="167" fontId="0" fillId="3" borderId="1" pivotButton="0" quotePrefix="0" xfId="0"/>
    <xf numFmtId="165" fontId="0" fillId="2" borderId="1" pivotButton="0" quotePrefix="0" xfId="0"/>
    <xf numFmtId="2" fontId="0" fillId="3" borderId="0" pivotButton="0" quotePrefix="0" xfId="0"/>
    <xf numFmtId="164" fontId="0" fillId="2" borderId="1" pivotButton="0" quotePrefix="0" xfId="0"/>
    <xf numFmtId="2" fontId="0" fillId="3" borderId="1" pivotButton="0" quotePrefix="0" xfId="0"/>
    <xf numFmtId="166" fontId="0" fillId="2" borderId="1" pivotButton="0" quotePrefix="0" xfId="0"/>
    <xf numFmtId="164" fontId="0" fillId="3" borderId="1" pivotButton="0" quotePrefix="0" xfId="0"/>
    <xf numFmtId="0" fontId="2" fillId="0" borderId="0" applyAlignment="1" pivotButton="0" quotePrefix="0" xfId="0">
      <alignment wrapText="1"/>
    </xf>
    <xf numFmtId="167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0" fillId="2" borderId="1" pivotButton="0" quotePrefix="0" xfId="0"/>
    <xf numFmtId="166" fontId="0" fillId="0" borderId="0" pivotButton="0" quotePrefix="0" xfId="0"/>
    <xf numFmtId="164" fontId="2" fillId="3" borderId="1" pivotButton="0" quotePrefix="0" xfId="0"/>
    <xf numFmtId="1" fontId="2" fillId="3" borderId="1" pivotButton="0" quotePrefix="0" xfId="0"/>
    <xf numFmtId="167" fontId="2" fillId="3" borderId="1" pivotButton="0" quotePrefix="0" xfId="0"/>
    <xf numFmtId="2" fontId="2" fillId="3" borderId="1" pivotButton="0" quotePrefix="0" xfId="0"/>
    <xf numFmtId="10" fontId="2" fillId="3" borderId="1" pivotButton="0" quotePrefix="0" xfId="0"/>
    <xf numFmtId="0" fontId="2" fillId="3" borderId="1" pivotButton="0" quotePrefix="0" xfId="0"/>
    <xf numFmtId="167" fontId="0" fillId="3" borderId="0" pivotButton="0" quotePrefix="0" xfId="0"/>
    <xf numFmtId="0" fontId="0" fillId="2" borderId="0" pivotButton="0" quotePrefix="0" xfId="0"/>
    <xf numFmtId="166" fontId="0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3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M13 · Scorecard vivo: del logit a la tabla de puntos</t>
        </is>
      </c>
    </row>
    <row r="2">
      <c r="A2" t="inlineStr">
        <is>
          <t>Serie 2 «Del embudo al gobierno» · módulo M13 · complemento de M13_scaling_scorecard.md y del notebook Marimo.</t>
        </is>
      </c>
    </row>
    <row r="3">
      <c r="A3" t="inlineStr"/>
    </row>
    <row r="4">
      <c r="A4" s="2" t="inlineStr">
        <is>
          <t>QUÉ ES</t>
        </is>
      </c>
    </row>
    <row r="5">
      <c r="A5" t="inlineStr">
        <is>
          <t>Una calculadora de scaling PDO con fórmulas vivas. Reproduce la cuenta de la clase 3 (láminas 23–27) y de la clase 4 v21 (láminas 4–6)</t>
        </is>
      </c>
    </row>
    <row r="6">
      <c r="A6" t="inlineStr">
        <is>
          <t>para 3 de las 8 variables de Banco Austral y permite cambiar la escala, el intercepto, los WoE y los β.</t>
        </is>
      </c>
    </row>
    <row r="7">
      <c r="A7" t="inlineStr"/>
    </row>
    <row r="8">
      <c r="A8" s="2" t="inlineStr">
        <is>
          <t>CÓMO USARLA</t>
        </is>
      </c>
    </row>
    <row r="9">
      <c r="A9" t="inlineStr">
        <is>
          <t>1. Hoja «Scorecard»: las celdas AMARILLAS son parámetros (PDO, score base, odds base, β₀, n, puntos del resto, δ, WoE, β, bins del cliente).</t>
        </is>
      </c>
    </row>
    <row r="10">
      <c r="A10" t="inlineStr">
        <is>
          <t>2. La tabla calcula factor, offset, base, pendiente por variable, puntos por bin (dos fórmulas equivalentes), puntos enteros y error de redondeo.</t>
        </is>
      </c>
    </row>
    <row r="11">
      <c r="A11" t="inlineStr">
        <is>
          <t>3. El «simulador de cliente» toma un número de bin (1 a 5) por variable y devuelve score, score con tabla entera, odds, PD y PD calibrada.</t>
        </is>
      </c>
    </row>
    <row r="12">
      <c r="A12" t="inlineStr">
        <is>
          <t xml:space="preserve">   Por defecto está cargada la solicitud S0030427 del curso: bins 3 / 4 / 2 + 388,9 puntos de las otras 5 variables ⇒ score ≈ 603,8, PD ≈ 1,7 %.</t>
        </is>
      </c>
    </row>
    <row r="13">
      <c r="A13" t="inlineStr">
        <is>
          <t>4. Hoja «Score_PD»: tabla score ↔ odds ↔ PD con la escala elegida, PD calibrada con δ, conversión a una segunda escala y efecto del redondeo.</t>
        </is>
      </c>
    </row>
    <row r="14">
      <c r="A14" t="inlineStr"/>
    </row>
    <row r="15">
      <c r="A15" s="2" t="inlineStr">
        <is>
          <t>SUPUESTOS Y ADVERTENCIAS</t>
        </is>
      </c>
    </row>
    <row r="16">
      <c r="A16" t="inlineStr">
        <is>
          <t>• Convención del curso: target 1 = malo; WoE = ln(%buenos/%malos) ⇒ β negativos; score = offset + factor·ln(odds buenos:malos).</t>
        </is>
      </c>
    </row>
    <row r="17">
      <c r="A17" t="inlineStr">
        <is>
          <t>• Reparto del intercepto en partes iguales entre las n variables del modelo (convención del curso). n = 8 es el modelo de Austral.</t>
        </is>
      </c>
    </row>
    <row r="18">
      <c r="A18" t="inlineStr">
        <is>
          <t xml:space="preserve">  Si cambias n sin cambiar el modelo, la base por variable cambia y la suma de las 8 filas deja de reproducir el logit: es a propósito, para ver el efecto.</t>
        </is>
      </c>
    </row>
    <row r="19">
      <c r="A19" t="inlineStr">
        <is>
          <t>• WoE de uso_tc_prom_12m: publicados en la lámina 24 (2 decimales; por eso el tramo 0,208–0,252 da 87,5 y no 87,4). WoE de uso_linea_prom_12m y antiguedad_meses: reconstruidos desde los</t>
        </is>
      </c>
    </row>
    <row r="20">
      <c r="A20" t="inlineStr">
        <is>
          <t xml:space="preserve">  puntos publicados (1 decimal) invirtiendo la fórmula; error de reconstrucción ±0,005 en WoE (≈ ±0,1 punto). Por eso 603,8 sale ≈ 603,9.</t>
        </is>
      </c>
    </row>
    <row r="21">
      <c r="A21" t="inlineStr">
        <is>
          <t>• β: los del stepwise de la clase 3 (β₀ = −3,0252; uso_tc −0,3525; uso_linea −0,5050; antigüedad −0,6061).</t>
        </is>
      </c>
    </row>
    <row r="22">
      <c r="A22" t="inlineStr">
        <is>
          <t>• δ es el ajuste PIT de la clase 4 (0,177 exacto): PD calibrada = σ(logit(PD) + δ) ⇔ score calibrado = score − δ·factor.</t>
        </is>
      </c>
    </row>
    <row r="23">
      <c r="A23" t="inlineStr">
        <is>
          <t>• Redondeo: ROUND de Excel/Sheets redondea .5 lejos de cero; numpy.round redondea a par. En puntos continuos la diferencia es irrelevante,</t>
        </is>
      </c>
    </row>
    <row r="24">
      <c r="A24" t="inlineStr">
        <is>
          <t xml:space="preserve">  pero si una tabla publicada trae exactamente x,5 los dos sistemas pueden discrepar en 1 punto: fija la regla en el artefacto.</t>
        </is>
      </c>
    </row>
    <row r="25">
      <c r="A25" t="inlineStr">
        <is>
          <t>• Solo funciones estándar (LN, EXP, ROUND, INDEX, SQRT, PI, MAX, MIN, SUM, IF, ABS): funciona igual en Excel y Google Sheets.</t>
        </is>
      </c>
    </row>
    <row r="26">
      <c r="A26" t="inlineStr"/>
    </row>
    <row r="27">
      <c r="A27" s="2" t="inlineStr">
        <is>
          <t>CHEQUEOS INCLUIDOS</t>
        </is>
      </c>
    </row>
    <row r="28">
      <c r="A28" t="inlineStr">
        <is>
          <t>• Scorecard!J: diferencia entre la fórmula «base + pendiente·WoE» y la del notebook del curso «−(β·WoE + β₀/n)·factor + offset/n» (debe ser 0).</t>
        </is>
      </c>
    </row>
    <row r="29">
      <c r="A29" t="inlineStr">
        <is>
          <t>• Scorecard: rango por variable (máx − mín) = |β|·factor·(rango de WoE); es lo que se discute en comité (lámina 32).</t>
        </is>
      </c>
    </row>
    <row r="30">
      <c r="A30" t="inlineStr">
        <is>
          <t>• Score_PD: 580/600/620 ⇔ 25/50/100:1 con la escala del curso.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6" customWidth="1" min="3" max="3"/>
    <col width="12" customWidth="1" min="4" max="4"/>
    <col width="44" customWidth="1" min="5" max="5"/>
    <col width="12" customWidth="1" min="6" max="6"/>
    <col width="16" customWidth="1" min="7" max="7"/>
    <col width="22" customWidth="1" min="8" max="8"/>
    <col width="16" customWidth="1" min="9" max="9"/>
    <col width="14" customWidth="1" min="10" max="10"/>
    <col width="11" customWidth="1" min="11" max="11"/>
    <col width="12" customWidth="1" min="12" max="12"/>
    <col width="12" customWidth="1" min="13" max="13"/>
  </cols>
  <sheetData>
    <row r="1">
      <c r="A1" s="1" t="inlineStr">
        <is>
          <t>Scorecard vivo — scaling PDO y tabla de puntos (3 de las 8 variables de Banco Austral)</t>
        </is>
      </c>
    </row>
    <row r="3">
      <c r="A3" s="2" t="inlineStr">
        <is>
          <t>Parámetros</t>
        </is>
      </c>
      <c r="D3" s="2" t="inlineStr">
        <is>
          <t>Derivados</t>
        </is>
      </c>
      <c r="G3" s="2" t="inlineStr">
        <is>
          <t>β por variable</t>
        </is>
      </c>
    </row>
    <row r="4">
      <c r="A4" t="inlineStr">
        <is>
          <t>PDO (puntos para duplicar las odds)</t>
        </is>
      </c>
      <c r="B4" s="3" t="n">
        <v>20</v>
      </c>
      <c r="D4" t="inlineStr">
        <is>
          <t>factor = PDO / ln 2</t>
        </is>
      </c>
      <c r="E4" s="4">
        <f>B4/LN(2)</f>
        <v/>
      </c>
      <c r="G4" s="2" t="inlineStr">
        <is>
          <t>variable</t>
        </is>
      </c>
      <c r="H4" s="2" t="inlineStr">
        <is>
          <t>β</t>
        </is>
      </c>
      <c r="I4" s="2" t="inlineStr">
        <is>
          <t>pendiente = −β·factor</t>
        </is>
      </c>
    </row>
    <row r="5">
      <c r="A5" t="inlineStr">
        <is>
          <t>Score base</t>
        </is>
      </c>
      <c r="B5" s="3" t="n">
        <v>600</v>
      </c>
      <c r="D5" t="inlineStr">
        <is>
          <t>offset = score base − factor·ln(odds base)</t>
        </is>
      </c>
      <c r="E5" s="4">
        <f>B5-E4*LN(B6)</f>
        <v/>
      </c>
      <c r="G5" t="inlineStr">
        <is>
          <t>uso_tc_prom_12m</t>
        </is>
      </c>
      <c r="H5" s="5" t="n">
        <v>-0.352515</v>
      </c>
      <c r="I5" s="6">
        <f>-H5*$E$4</f>
        <v/>
      </c>
    </row>
    <row r="6">
      <c r="A6" t="inlineStr">
        <is>
          <t>Odds base (buenos:malos)</t>
        </is>
      </c>
      <c r="B6" s="7" t="n">
        <v>50</v>
      </c>
      <c r="D6" t="inlineStr">
        <is>
          <t>offset / n</t>
        </is>
      </c>
      <c r="E6" s="8">
        <f>E5/B8</f>
        <v/>
      </c>
      <c r="G6" t="inlineStr">
        <is>
          <t>uso_linea_prom_12m</t>
        </is>
      </c>
      <c r="H6" s="5" t="n">
        <v>-0.5049979999999999</v>
      </c>
      <c r="I6" s="6">
        <f>-H6*$E$4</f>
        <v/>
      </c>
    </row>
    <row r="7">
      <c r="A7" t="inlineStr">
        <is>
          <t>β₀ (intercepto)</t>
        </is>
      </c>
      <c r="B7" s="5" t="n">
        <v>-3.02521</v>
      </c>
      <c r="D7" t="inlineStr">
        <is>
          <t>− β₀ / n · factor</t>
        </is>
      </c>
      <c r="E7" s="8">
        <f>-B7/B8*E4</f>
        <v/>
      </c>
      <c r="G7" t="inlineStr">
        <is>
          <t>antiguedad_meses</t>
        </is>
      </c>
      <c r="H7" s="5" t="n">
        <v>-0.6061</v>
      </c>
      <c r="I7" s="6">
        <f>-H7*$E$4</f>
        <v/>
      </c>
    </row>
    <row r="8">
      <c r="A8" t="inlineStr">
        <is>
          <t>n variables del modelo (reparto del intercepto)</t>
        </is>
      </c>
      <c r="B8" s="3" t="n">
        <v>8</v>
      </c>
      <c r="D8" t="inlineStr">
        <is>
          <t>base por variable = offset/n − β₀/n·factor</t>
        </is>
      </c>
      <c r="E8" s="8">
        <f>E6+E7</f>
        <v/>
      </c>
    </row>
    <row r="9">
      <c r="A9" t="inlineStr">
        <is>
          <t>Puntos del resto del cliente (otras variables)</t>
        </is>
      </c>
      <c r="B9" s="7" t="n">
        <v>388.9</v>
      </c>
      <c r="D9" t="inlineStr">
        <is>
          <t>constante total C = offset − β₀·factor</t>
        </is>
      </c>
      <c r="E9" s="8">
        <f>E5-B7*E4</f>
        <v/>
      </c>
    </row>
    <row r="10">
      <c r="A10" t="inlineStr">
        <is>
          <t>δ de calibración PIT (se suma al logit de malo)</t>
        </is>
      </c>
      <c r="B10" s="9" t="n">
        <v>0.177</v>
      </c>
      <c r="D10" t="inlineStr">
        <is>
          <t>cota de error por redondear la tabla = n/2</t>
        </is>
      </c>
      <c r="E10" s="10">
        <f>B8/2</f>
        <v/>
      </c>
    </row>
    <row r="12">
      <c r="A12" s="2" t="inlineStr">
        <is>
          <t>Tabla de puntos (una fila por atributo)</t>
        </is>
      </c>
    </row>
    <row r="13" ht="45" customHeight="1">
      <c r="A13" s="11" t="inlineStr">
        <is>
          <t>variable</t>
        </is>
      </c>
      <c r="B13" s="11" t="inlineStr">
        <is>
          <t>bin #</t>
        </is>
      </c>
      <c r="C13" s="11" t="inlineStr">
        <is>
          <t>atributo</t>
        </is>
      </c>
      <c r="D13" s="11" t="inlineStr">
        <is>
          <t>WoE (DEV)</t>
        </is>
      </c>
      <c r="E13" s="11" t="inlineStr">
        <is>
          <t>β</t>
        </is>
      </c>
      <c r="F13" s="11" t="inlineStr">
        <is>
          <t>pendiente</t>
        </is>
      </c>
      <c r="G13" s="11" t="inlineStr">
        <is>
          <t>aporte = pendiente·WoE</t>
        </is>
      </c>
      <c r="H13" s="11" t="inlineStr">
        <is>
          <t>puntos = base + aporte</t>
        </is>
      </c>
      <c r="I13" s="11" t="inlineStr">
        <is>
          <t>puntos (fórmula notebook)</t>
        </is>
      </c>
      <c r="J13" s="11" t="inlineStr">
        <is>
          <t>diferencia (chequeo)</t>
        </is>
      </c>
      <c r="K13" s="11" t="inlineStr">
        <is>
          <t>puntos enteros</t>
        </is>
      </c>
      <c r="L13" s="11" t="inlineStr">
        <is>
          <t>error de redondeo</t>
        </is>
      </c>
      <c r="M13" s="11" t="inlineStr">
        <is>
          <t>brecha al máximo</t>
        </is>
      </c>
    </row>
    <row r="14">
      <c r="A14" t="inlineStr">
        <is>
          <t>uso_tc_prom_12m</t>
        </is>
      </c>
      <c r="B14" t="n">
        <v>1</v>
      </c>
      <c r="C14" t="inlineStr">
        <is>
          <t>hasta 0,208</t>
        </is>
      </c>
      <c r="D14" s="9" t="n">
        <v>4.26</v>
      </c>
      <c r="E14" s="12">
        <f>$H$5</f>
        <v/>
      </c>
      <c r="F14" s="13">
        <f>$I$5</f>
        <v/>
      </c>
      <c r="G14" s="14">
        <f>F14*D14</f>
        <v/>
      </c>
      <c r="H14" s="14">
        <f>$E$8+G14</f>
        <v/>
      </c>
      <c r="I14" s="14">
        <f>-(E14*D14+$B$7/$B$8)*$E$4+$E$5/$B$8</f>
        <v/>
      </c>
      <c r="J14" s="15">
        <f>H14-I14</f>
        <v/>
      </c>
      <c r="K14" s="16">
        <f>ROUND(H14,0)</f>
        <v/>
      </c>
      <c r="L14" s="13">
        <f>K14-H14</f>
        <v/>
      </c>
      <c r="M14" s="14">
        <f>MAX($H$14:$H$18)-H14</f>
        <v/>
      </c>
    </row>
    <row r="15">
      <c r="A15" t="inlineStr">
        <is>
          <t>uso_tc_prom_12m</t>
        </is>
      </c>
      <c r="B15" t="n">
        <v>2</v>
      </c>
      <c r="C15" t="inlineStr">
        <is>
          <t>0,208 – 0,252</t>
        </is>
      </c>
      <c r="D15" s="9" t="n">
        <v>1.54</v>
      </c>
      <c r="E15" s="12">
        <f>$H$5</f>
        <v/>
      </c>
      <c r="F15" s="13">
        <f>$I$5</f>
        <v/>
      </c>
      <c r="G15" s="14">
        <f>F15*D15</f>
        <v/>
      </c>
      <c r="H15" s="14">
        <f>$E$8+G15</f>
        <v/>
      </c>
      <c r="I15" s="14">
        <f>-(E15*D15+$B$7/$B$8)*$E$4+$E$5/$B$8</f>
        <v/>
      </c>
      <c r="J15" s="15">
        <f>H15-I15</f>
        <v/>
      </c>
      <c r="K15" s="16">
        <f>ROUND(H15,0)</f>
        <v/>
      </c>
      <c r="L15" s="13">
        <f>K15-H15</f>
        <v/>
      </c>
      <c r="M15" s="14">
        <f>MAX($H$14:$H$18)-H15</f>
        <v/>
      </c>
    </row>
    <row r="16">
      <c r="A16" t="inlineStr">
        <is>
          <t>uso_tc_prom_12m</t>
        </is>
      </c>
      <c r="B16" t="n">
        <v>3</v>
      </c>
      <c r="C16" t="inlineStr">
        <is>
          <t>0,252 – 0,292</t>
        </is>
      </c>
      <c r="D16" s="9" t="n">
        <v>0.51</v>
      </c>
      <c r="E16" s="12">
        <f>$H$5</f>
        <v/>
      </c>
      <c r="F16" s="13">
        <f>$I$5</f>
        <v/>
      </c>
      <c r="G16" s="14">
        <f>F16*D16</f>
        <v/>
      </c>
      <c r="H16" s="14">
        <f>$E$8+G16</f>
        <v/>
      </c>
      <c r="I16" s="14">
        <f>-(E16*D16+$B$7/$B$8)*$E$4+$E$5/$B$8</f>
        <v/>
      </c>
      <c r="J16" s="15">
        <f>H16-I16</f>
        <v/>
      </c>
      <c r="K16" s="16">
        <f>ROUND(H16,0)</f>
        <v/>
      </c>
      <c r="L16" s="13">
        <f>K16-H16</f>
        <v/>
      </c>
      <c r="M16" s="14">
        <f>MAX($H$14:$H$18)-H16</f>
        <v/>
      </c>
    </row>
    <row r="17">
      <c r="A17" t="inlineStr">
        <is>
          <t>uso_tc_prom_12m</t>
        </is>
      </c>
      <c r="B17" t="n">
        <v>4</v>
      </c>
      <c r="C17" t="inlineStr">
        <is>
          <t>0,292 – 0,339</t>
        </is>
      </c>
      <c r="D17" s="9" t="n">
        <v>-0.09</v>
      </c>
      <c r="E17" s="12">
        <f>$H$5</f>
        <v/>
      </c>
      <c r="F17" s="13">
        <f>$I$5</f>
        <v/>
      </c>
      <c r="G17" s="14">
        <f>F17*D17</f>
        <v/>
      </c>
      <c r="H17" s="14">
        <f>$E$8+G17</f>
        <v/>
      </c>
      <c r="I17" s="14">
        <f>-(E17*D17+$B$7/$B$8)*$E$4+$E$5/$B$8</f>
        <v/>
      </c>
      <c r="J17" s="15">
        <f>H17-I17</f>
        <v/>
      </c>
      <c r="K17" s="16">
        <f>ROUND(H17,0)</f>
        <v/>
      </c>
      <c r="L17" s="13">
        <f>K17-H17</f>
        <v/>
      </c>
      <c r="M17" s="14">
        <f>MAX($H$14:$H$18)-H17</f>
        <v/>
      </c>
    </row>
    <row r="18">
      <c r="A18" t="inlineStr">
        <is>
          <t>uso_tc_prom_12m</t>
        </is>
      </c>
      <c r="B18" t="n">
        <v>5</v>
      </c>
      <c r="C18" t="inlineStr">
        <is>
          <t>sobre 0,339</t>
        </is>
      </c>
      <c r="D18" s="9" t="n">
        <v>-1.23</v>
      </c>
      <c r="E18" s="12">
        <f>$H$5</f>
        <v/>
      </c>
      <c r="F18" s="13">
        <f>$I$5</f>
        <v/>
      </c>
      <c r="G18" s="14">
        <f>F18*D18</f>
        <v/>
      </c>
      <c r="H18" s="14">
        <f>$E$8+G18</f>
        <v/>
      </c>
      <c r="I18" s="14">
        <f>-(E18*D18+$B$7/$B$8)*$E$4+$E$5/$B$8</f>
        <v/>
      </c>
      <c r="J18" s="15">
        <f>H18-I18</f>
        <v/>
      </c>
      <c r="K18" s="16">
        <f>ROUND(H18,0)</f>
        <v/>
      </c>
      <c r="L18" s="13">
        <f>K18-H18</f>
        <v/>
      </c>
      <c r="M18" s="14">
        <f>MAX($H$14:$H$18)-H18</f>
        <v/>
      </c>
    </row>
    <row r="19">
      <c r="A19" t="inlineStr">
        <is>
          <t>uso_linea_prom_12m</t>
        </is>
      </c>
      <c r="B19" t="n">
        <v>1</v>
      </c>
      <c r="C19" t="inlineStr">
        <is>
          <t>hasta 0,215</t>
        </is>
      </c>
      <c r="D19" s="9" t="n">
        <v>2.306</v>
      </c>
      <c r="E19" s="12">
        <f>$H$6</f>
        <v/>
      </c>
      <c r="F19" s="13">
        <f>$I$6</f>
        <v/>
      </c>
      <c r="G19" s="14">
        <f>F19*D19</f>
        <v/>
      </c>
      <c r="H19" s="14">
        <f>$E$8+G19</f>
        <v/>
      </c>
      <c r="I19" s="14">
        <f>-(E19*D19+$B$7/$B$8)*$E$4+$E$5/$B$8</f>
        <v/>
      </c>
      <c r="J19" s="15">
        <f>H19-I19</f>
        <v/>
      </c>
      <c r="K19" s="16">
        <f>ROUND(H19,0)</f>
        <v/>
      </c>
      <c r="L19" s="13">
        <f>K19-H19</f>
        <v/>
      </c>
      <c r="M19" s="14">
        <f>MAX($H$19:$H$23)-H19</f>
        <v/>
      </c>
    </row>
    <row r="20">
      <c r="A20" t="inlineStr">
        <is>
          <t>uso_linea_prom_12m</t>
        </is>
      </c>
      <c r="B20" t="n">
        <v>2</v>
      </c>
      <c r="C20" t="inlineStr">
        <is>
          <t>0,215 – 0,26</t>
        </is>
      </c>
      <c r="D20" s="9" t="n">
        <v>2.052</v>
      </c>
      <c r="E20" s="12">
        <f>$H$6</f>
        <v/>
      </c>
      <c r="F20" s="13">
        <f>$I$6</f>
        <v/>
      </c>
      <c r="G20" s="14">
        <f>F20*D20</f>
        <v/>
      </c>
      <c r="H20" s="14">
        <f>$E$8+G20</f>
        <v/>
      </c>
      <c r="I20" s="14">
        <f>-(E20*D20+$B$7/$B$8)*$E$4+$E$5/$B$8</f>
        <v/>
      </c>
      <c r="J20" s="15">
        <f>H20-I20</f>
        <v/>
      </c>
      <c r="K20" s="16">
        <f>ROUND(H20,0)</f>
        <v/>
      </c>
      <c r="L20" s="13">
        <f>K20-H20</f>
        <v/>
      </c>
      <c r="M20" s="14">
        <f>MAX($H$19:$H$23)-H20</f>
        <v/>
      </c>
    </row>
    <row r="21">
      <c r="A21" t="inlineStr">
        <is>
          <t>uso_linea_prom_12m</t>
        </is>
      </c>
      <c r="B21" t="n">
        <v>3</v>
      </c>
      <c r="C21" t="inlineStr">
        <is>
          <t>0,26 – 0,307</t>
        </is>
      </c>
      <c r="D21" s="9" t="n">
        <v>1.105</v>
      </c>
      <c r="E21" s="12">
        <f>$H$6</f>
        <v/>
      </c>
      <c r="F21" s="13">
        <f>$I$6</f>
        <v/>
      </c>
      <c r="G21" s="14">
        <f>F21*D21</f>
        <v/>
      </c>
      <c r="H21" s="14">
        <f>$E$8+G21</f>
        <v/>
      </c>
      <c r="I21" s="14">
        <f>-(E21*D21+$B$7/$B$8)*$E$4+$E$5/$B$8</f>
        <v/>
      </c>
      <c r="J21" s="15">
        <f>H21-I21</f>
        <v/>
      </c>
      <c r="K21" s="16">
        <f>ROUND(H21,0)</f>
        <v/>
      </c>
      <c r="L21" s="13">
        <f>K21-H21</f>
        <v/>
      </c>
      <c r="M21" s="14">
        <f>MAX($H$19:$H$23)-H21</f>
        <v/>
      </c>
    </row>
    <row r="22">
      <c r="A22" t="inlineStr">
        <is>
          <t>uso_linea_prom_12m</t>
        </is>
      </c>
      <c r="B22" t="n">
        <v>4</v>
      </c>
      <c r="C22" t="inlineStr">
        <is>
          <t>0,307 – 0,364</t>
        </is>
      </c>
      <c r="D22" s="9" t="n">
        <v>-0.117</v>
      </c>
      <c r="E22" s="12">
        <f>$H$6</f>
        <v/>
      </c>
      <c r="F22" s="13">
        <f>$I$6</f>
        <v/>
      </c>
      <c r="G22" s="14">
        <f>F22*D22</f>
        <v/>
      </c>
      <c r="H22" s="14">
        <f>$E$8+G22</f>
        <v/>
      </c>
      <c r="I22" s="14">
        <f>-(E22*D22+$B$7/$B$8)*$E$4+$E$5/$B$8</f>
        <v/>
      </c>
      <c r="J22" s="15">
        <f>H22-I22</f>
        <v/>
      </c>
      <c r="K22" s="16">
        <f>ROUND(H22,0)</f>
        <v/>
      </c>
      <c r="L22" s="13">
        <f>K22-H22</f>
        <v/>
      </c>
      <c r="M22" s="14">
        <f>MAX($H$19:$H$23)-H22</f>
        <v/>
      </c>
    </row>
    <row r="23">
      <c r="A23" t="inlineStr">
        <is>
          <t>uso_linea_prom_12m</t>
        </is>
      </c>
      <c r="B23" t="n">
        <v>5</v>
      </c>
      <c r="C23" t="inlineStr">
        <is>
          <t>sobre 0,364</t>
        </is>
      </c>
      <c r="D23" s="9" t="n">
        <v>-1.325</v>
      </c>
      <c r="E23" s="12">
        <f>$H$6</f>
        <v/>
      </c>
      <c r="F23" s="13">
        <f>$I$6</f>
        <v/>
      </c>
      <c r="G23" s="14">
        <f>F23*D23</f>
        <v/>
      </c>
      <c r="H23" s="14">
        <f>$E$8+G23</f>
        <v/>
      </c>
      <c r="I23" s="14">
        <f>-(E23*D23+$B$7/$B$8)*$E$4+$E$5/$B$8</f>
        <v/>
      </c>
      <c r="J23" s="15">
        <f>H23-I23</f>
        <v/>
      </c>
      <c r="K23" s="16">
        <f>ROUND(H23,0)</f>
        <v/>
      </c>
      <c r="L23" s="13">
        <f>K23-H23</f>
        <v/>
      </c>
      <c r="M23" s="14">
        <f>MAX($H$19:$H$23)-H23</f>
        <v/>
      </c>
    </row>
    <row r="24">
      <c r="A24" t="inlineStr">
        <is>
          <t>antiguedad_meses</t>
        </is>
      </c>
      <c r="B24" t="n">
        <v>1</v>
      </c>
      <c r="C24" t="inlineStr">
        <is>
          <t>hasta 29</t>
        </is>
      </c>
      <c r="D24" s="9" t="n">
        <v>-0.503</v>
      </c>
      <c r="E24" s="12">
        <f>$H$7</f>
        <v/>
      </c>
      <c r="F24" s="13">
        <f>$I$7</f>
        <v/>
      </c>
      <c r="G24" s="14">
        <f>F24*D24</f>
        <v/>
      </c>
      <c r="H24" s="14">
        <f>$E$8+G24</f>
        <v/>
      </c>
      <c r="I24" s="14">
        <f>-(E24*D24+$B$7/$B$8)*$E$4+$E$5/$B$8</f>
        <v/>
      </c>
      <c r="J24" s="15">
        <f>H24-I24</f>
        <v/>
      </c>
      <c r="K24" s="16">
        <f>ROUND(H24,0)</f>
        <v/>
      </c>
      <c r="L24" s="13">
        <f>K24-H24</f>
        <v/>
      </c>
      <c r="M24" s="14">
        <f>MAX($H$24:$H$28)-H24</f>
        <v/>
      </c>
    </row>
    <row r="25">
      <c r="A25" t="inlineStr">
        <is>
          <t>antiguedad_meses</t>
        </is>
      </c>
      <c r="B25" t="n">
        <v>2</v>
      </c>
      <c r="C25" t="inlineStr">
        <is>
          <t>29 – 59</t>
        </is>
      </c>
      <c r="D25" s="9" t="n">
        <v>-0.223</v>
      </c>
      <c r="E25" s="12">
        <f>$H$7</f>
        <v/>
      </c>
      <c r="F25" s="13">
        <f>$I$7</f>
        <v/>
      </c>
      <c r="G25" s="14">
        <f>F25*D25</f>
        <v/>
      </c>
      <c r="H25" s="14">
        <f>$E$8+G25</f>
        <v/>
      </c>
      <c r="I25" s="14">
        <f>-(E25*D25+$B$7/$B$8)*$E$4+$E$5/$B$8</f>
        <v/>
      </c>
      <c r="J25" s="15">
        <f>H25-I25</f>
        <v/>
      </c>
      <c r="K25" s="16">
        <f>ROUND(H25,0)</f>
        <v/>
      </c>
      <c r="L25" s="13">
        <f>K25-H25</f>
        <v/>
      </c>
      <c r="M25" s="14">
        <f>MAX($H$24:$H$28)-H25</f>
        <v/>
      </c>
    </row>
    <row r="26">
      <c r="A26" t="inlineStr">
        <is>
          <t>antiguedad_meses</t>
        </is>
      </c>
      <c r="B26" t="n">
        <v>3</v>
      </c>
      <c r="C26" t="inlineStr">
        <is>
          <t>59 – 99,6</t>
        </is>
      </c>
      <c r="D26" s="9" t="n">
        <v>-0.017</v>
      </c>
      <c r="E26" s="12">
        <f>$H$7</f>
        <v/>
      </c>
      <c r="F26" s="13">
        <f>$I$7</f>
        <v/>
      </c>
      <c r="G26" s="14">
        <f>F26*D26</f>
        <v/>
      </c>
      <c r="H26" s="14">
        <f>$E$8+G26</f>
        <v/>
      </c>
      <c r="I26" s="14">
        <f>-(E26*D26+$B$7/$B$8)*$E$4+$E$5/$B$8</f>
        <v/>
      </c>
      <c r="J26" s="15">
        <f>H26-I26</f>
        <v/>
      </c>
      <c r="K26" s="16">
        <f>ROUND(H26,0)</f>
        <v/>
      </c>
      <c r="L26" s="13">
        <f>K26-H26</f>
        <v/>
      </c>
      <c r="M26" s="14">
        <f>MAX($H$24:$H$28)-H26</f>
        <v/>
      </c>
    </row>
    <row r="27">
      <c r="A27" t="inlineStr">
        <is>
          <t>antiguedad_meses</t>
        </is>
      </c>
      <c r="B27" t="n">
        <v>4</v>
      </c>
      <c r="C27" t="inlineStr">
        <is>
          <t>99,6 – 161</t>
        </is>
      </c>
      <c r="D27" s="9" t="n">
        <v>0.417</v>
      </c>
      <c r="E27" s="12">
        <f>$H$7</f>
        <v/>
      </c>
      <c r="F27" s="13">
        <f>$I$7</f>
        <v/>
      </c>
      <c r="G27" s="14">
        <f>F27*D27</f>
        <v/>
      </c>
      <c r="H27" s="14">
        <f>$E$8+G27</f>
        <v/>
      </c>
      <c r="I27" s="14">
        <f>-(E27*D27+$B$7/$B$8)*$E$4+$E$5/$B$8</f>
        <v/>
      </c>
      <c r="J27" s="15">
        <f>H27-I27</f>
        <v/>
      </c>
      <c r="K27" s="16">
        <f>ROUND(H27,0)</f>
        <v/>
      </c>
      <c r="L27" s="13">
        <f>K27-H27</f>
        <v/>
      </c>
      <c r="M27" s="14">
        <f>MAX($H$24:$H$28)-H27</f>
        <v/>
      </c>
    </row>
    <row r="28">
      <c r="A28" t="inlineStr">
        <is>
          <t>antiguedad_meses</t>
        </is>
      </c>
      <c r="B28" t="n">
        <v>5</v>
      </c>
      <c r="C28" t="inlineStr">
        <is>
          <t>sobre 161</t>
        </is>
      </c>
      <c r="D28" s="9" t="n">
        <v>0.795</v>
      </c>
      <c r="E28" s="12">
        <f>$H$7</f>
        <v/>
      </c>
      <c r="F28" s="13">
        <f>$I$7</f>
        <v/>
      </c>
      <c r="G28" s="14">
        <f>F28*D28</f>
        <v/>
      </c>
      <c r="H28" s="14">
        <f>$E$8+G28</f>
        <v/>
      </c>
      <c r="I28" s="14">
        <f>-(E28*D28+$B$7/$B$8)*$E$4+$E$5/$B$8</f>
        <v/>
      </c>
      <c r="J28" s="15">
        <f>H28-I28</f>
        <v/>
      </c>
      <c r="K28" s="16">
        <f>ROUND(H28,0)</f>
        <v/>
      </c>
      <c r="L28" s="13">
        <f>K28-H28</f>
        <v/>
      </c>
      <c r="M28" s="14">
        <f>MAX($H$24:$H$28)-H28</f>
        <v/>
      </c>
    </row>
    <row r="30">
      <c r="A30" s="2" t="inlineStr">
        <is>
          <t>Resumen por variable (lo que se discute en comité: el RANGO)</t>
        </is>
      </c>
    </row>
    <row r="31">
      <c r="A31" s="2" t="inlineStr">
        <is>
          <t>variable</t>
        </is>
      </c>
      <c r="B31" s="2" t="inlineStr">
        <is>
          <t>puntos mínimos</t>
        </is>
      </c>
      <c r="C31" s="2" t="inlineStr">
        <is>
          <t>puntos máximos</t>
        </is>
      </c>
      <c r="D31" s="2" t="inlineStr">
        <is>
          <t>rango</t>
        </is>
      </c>
      <c r="E31" s="2" t="inlineStr">
        <is>
          <t>|β|·factor·(rango de WoE)</t>
        </is>
      </c>
    </row>
    <row r="32">
      <c r="A32" t="inlineStr">
        <is>
          <t>uso_tc_prom_12m</t>
        </is>
      </c>
      <c r="B32" s="14">
        <f>MIN(H14:H18)</f>
        <v/>
      </c>
      <c r="C32" s="14">
        <f>MAX(H14:H18)</f>
        <v/>
      </c>
      <c r="D32" s="14">
        <f>C32-B32</f>
        <v/>
      </c>
      <c r="E32" s="14">
        <f>ABS(E14)*$E$4*(MAX(D14:D18)-MIN(D14:D18))</f>
        <v/>
      </c>
    </row>
    <row r="33">
      <c r="A33" t="inlineStr">
        <is>
          <t>uso_linea_prom_12m</t>
        </is>
      </c>
      <c r="B33" s="14">
        <f>MIN(H19:H23)</f>
        <v/>
      </c>
      <c r="C33" s="14">
        <f>MAX(H19:H23)</f>
        <v/>
      </c>
      <c r="D33" s="14">
        <f>C33-B33</f>
        <v/>
      </c>
      <c r="E33" s="14">
        <f>ABS(E19)*$E$4*(MAX(D19:D23)-MIN(D19:D23))</f>
        <v/>
      </c>
    </row>
    <row r="34">
      <c r="A34" t="inlineStr">
        <is>
          <t>antiguedad_meses</t>
        </is>
      </c>
      <c r="B34" s="14">
        <f>MIN(H24:H28)</f>
        <v/>
      </c>
      <c r="C34" s="14">
        <f>MAX(H24:H28)</f>
        <v/>
      </c>
      <c r="D34" s="14">
        <f>C34-B34</f>
        <v/>
      </c>
      <c r="E34" s="14">
        <f>ABS(E24)*$E$4*(MAX(D24:D28)-MIN(D24:D28))</f>
        <v/>
      </c>
    </row>
    <row r="37">
      <c r="A37" s="2" t="inlineStr">
        <is>
          <t>Simulador de cliente (elige el número de bin, 1 a 5, de cada variable)</t>
        </is>
      </c>
    </row>
    <row r="38">
      <c r="A38" s="2" t="inlineStr">
        <is>
          <t>variable</t>
        </is>
      </c>
      <c r="B38" s="2" t="inlineStr">
        <is>
          <t>bin elegido</t>
        </is>
      </c>
      <c r="C38" s="2" t="inlineStr">
        <is>
          <t>atributo</t>
        </is>
      </c>
      <c r="D38" s="2" t="inlineStr">
        <is>
          <t>WoE</t>
        </is>
      </c>
      <c r="E38" s="2" t="inlineStr">
        <is>
          <t>puntos</t>
        </is>
      </c>
      <c r="F38" s="2" t="inlineStr">
        <is>
          <t>puntos enteros</t>
        </is>
      </c>
      <c r="G38" s="2" t="inlineStr">
        <is>
          <t>brecha al máximo</t>
        </is>
      </c>
    </row>
    <row r="39">
      <c r="A39" t="inlineStr">
        <is>
          <t>uso_tc_prom_12m</t>
        </is>
      </c>
      <c r="B39" s="17" t="n">
        <v>3</v>
      </c>
      <c r="C39">
        <f>INDEX(C14:C18,B39)</f>
        <v/>
      </c>
      <c r="D39" s="18">
        <f>INDEX(D14:D18,B39)</f>
        <v/>
      </c>
      <c r="E39" s="14">
        <f>INDEX(H14:H18,B39)</f>
        <v/>
      </c>
      <c r="F39" s="16">
        <f>INDEX(K14:K18,B39)</f>
        <v/>
      </c>
      <c r="G39" s="14">
        <f>INDEX(M14:M18,B39)</f>
        <v/>
      </c>
    </row>
    <row r="40">
      <c r="A40" t="inlineStr">
        <is>
          <t>uso_linea_prom_12m</t>
        </is>
      </c>
      <c r="B40" s="17" t="n">
        <v>4</v>
      </c>
      <c r="C40">
        <f>INDEX(C19:C23,B40)</f>
        <v/>
      </c>
      <c r="D40" s="18">
        <f>INDEX(D19:D23,B40)</f>
        <v/>
      </c>
      <c r="E40" s="14">
        <f>INDEX(H19:H23,B40)</f>
        <v/>
      </c>
      <c r="F40" s="16">
        <f>INDEX(K19:K23,B40)</f>
        <v/>
      </c>
      <c r="G40" s="14">
        <f>INDEX(M19:M23,B40)</f>
        <v/>
      </c>
    </row>
    <row r="41">
      <c r="A41" t="inlineStr">
        <is>
          <t>antiguedad_meses</t>
        </is>
      </c>
      <c r="B41" s="17" t="n">
        <v>2</v>
      </c>
      <c r="C41">
        <f>INDEX(C24:C28,B41)</f>
        <v/>
      </c>
      <c r="D41" s="18">
        <f>INDEX(D24:D28,B41)</f>
        <v/>
      </c>
      <c r="E41" s="14">
        <f>INDEX(H24:H28,B41)</f>
        <v/>
      </c>
      <c r="F41" s="16">
        <f>INDEX(K24:K28,B41)</f>
        <v/>
      </c>
      <c r="G41" s="14">
        <f>INDEX(M24:M28,B41)</f>
        <v/>
      </c>
    </row>
    <row r="43">
      <c r="A43" t="inlineStr">
        <is>
          <t>Resto del cliente (otras variables, parámetro B9)</t>
        </is>
      </c>
      <c r="B43" s="19">
        <f>B9</f>
        <v/>
      </c>
    </row>
    <row r="44">
      <c r="A44" t="inlineStr">
        <is>
          <t>Score = suma de puntos</t>
        </is>
      </c>
      <c r="B44" s="19">
        <f>SUM(E39:E41)+B9</f>
        <v/>
      </c>
    </row>
    <row r="45">
      <c r="A45" t="inlineStr">
        <is>
          <t>Score con tabla entera (puntos enteros + resto redondeado)</t>
        </is>
      </c>
      <c r="B45" s="20">
        <f>SUM(F39:F41)+ROUND(B9,0)</f>
        <v/>
      </c>
    </row>
    <row r="46">
      <c r="A46" t="inlineStr">
        <is>
          <t>log-odds de buenos = (score − offset)/factor</t>
        </is>
      </c>
      <c r="B46" s="21">
        <f>(B44-E5)/E4</f>
        <v/>
      </c>
    </row>
    <row r="47">
      <c r="A47" t="inlineStr">
        <is>
          <t>Odds buenos:malos = EXP(log-odds)</t>
        </is>
      </c>
      <c r="B47" s="22">
        <f>EXP(B46)</f>
        <v/>
      </c>
    </row>
    <row r="48">
      <c r="A48" t="inlineStr">
        <is>
          <t>PD = 1/(1+odds)</t>
        </is>
      </c>
      <c r="B48" s="23">
        <f>1/(1+B47)</f>
        <v/>
      </c>
    </row>
    <row r="49">
      <c r="A49" t="inlineStr">
        <is>
          <t>PD con score de tabla entera</t>
        </is>
      </c>
      <c r="B49" s="23">
        <f>1/(1+EXP((B45-E5)/E4))</f>
        <v/>
      </c>
    </row>
    <row r="50">
      <c r="A50" t="inlineStr">
        <is>
          <t>PD calibrada = 1/(1+odds·EXP(−δ))</t>
        </is>
      </c>
      <c r="B50" s="23">
        <f>1/(1+B47*EXP(-B10))</f>
        <v/>
      </c>
    </row>
    <row r="51">
      <c r="A51" t="inlineStr">
        <is>
          <t>Score calibrado = score − δ·factor</t>
        </is>
      </c>
      <c r="B51" s="19">
        <f>B44-B10*E4</f>
        <v/>
      </c>
    </row>
    <row r="52">
      <c r="A52" t="inlineStr">
        <is>
          <t>Motivo principal (mayor brecha entre las 3 mostradas)</t>
        </is>
      </c>
      <c r="B52" s="24">
        <f>INDEX(A39:A41,MATCH(MAX(G39:G41),G39:G41,0))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Score ↔ odds ↔ PD con la escala de la hoja Scorecard, calibración δ y conversión a otra escala</t>
        </is>
      </c>
    </row>
    <row r="3">
      <c r="A3" s="2" t="inlineStr">
        <is>
          <t>Escala A (desde Scorecard)</t>
        </is>
      </c>
      <c r="D3" s="2" t="inlineStr">
        <is>
          <t>Escala B (conversión)</t>
        </is>
      </c>
      <c r="G3" s="2" t="inlineStr">
        <is>
          <t>Tabla</t>
        </is>
      </c>
    </row>
    <row r="4">
      <c r="A4" t="inlineStr">
        <is>
          <t>factor A</t>
        </is>
      </c>
      <c r="B4" s="25">
        <f>Scorecard!E4</f>
        <v/>
      </c>
      <c r="D4" t="inlineStr">
        <is>
          <t>PDO B (negativo = score creciente con el riesgo)</t>
        </is>
      </c>
      <c r="E4" s="17" t="n">
        <v>40</v>
      </c>
      <c r="G4" t="inlineStr">
        <is>
          <t>score inicial</t>
        </is>
      </c>
      <c r="H4" s="26" t="n">
        <v>440</v>
      </c>
    </row>
    <row r="5">
      <c r="A5" t="inlineStr">
        <is>
          <t>offset A</t>
        </is>
      </c>
      <c r="B5" s="25">
        <f>Scorecard!E5</f>
        <v/>
      </c>
      <c r="D5" t="inlineStr">
        <is>
          <t>Score base B</t>
        </is>
      </c>
      <c r="E5" s="17" t="n">
        <v>500</v>
      </c>
      <c r="G5" t="inlineStr">
        <is>
          <t>paso</t>
        </is>
      </c>
      <c r="H5" s="26" t="n">
        <v>10</v>
      </c>
    </row>
    <row r="6">
      <c r="A6" t="inlineStr">
        <is>
          <t>δ (Scorecard!B10)</t>
        </is>
      </c>
      <c r="B6" s="27">
        <f>Scorecard!B10</f>
        <v/>
      </c>
      <c r="D6" t="inlineStr">
        <is>
          <t>Odds base B</t>
        </is>
      </c>
      <c r="E6" s="17" t="n">
        <v>20</v>
      </c>
    </row>
    <row r="7">
      <c r="A7" t="inlineStr">
        <is>
          <t>n (Scorecard!B8)</t>
        </is>
      </c>
      <c r="B7" s="28">
        <f>Scorecard!B8</f>
        <v/>
      </c>
      <c r="D7" t="inlineStr">
        <is>
          <t>factor B</t>
        </is>
      </c>
      <c r="E7" s="25">
        <f>E4/LN(2)</f>
        <v/>
      </c>
    </row>
    <row r="8">
      <c r="D8" t="inlineStr">
        <is>
          <t>offset B</t>
        </is>
      </c>
      <c r="E8" s="25">
        <f>E5-E7*LN(E6)</f>
        <v/>
      </c>
    </row>
    <row r="10">
      <c r="A10" s="2" t="inlineStr">
        <is>
          <t>Redondeo de la tabla a enteros</t>
        </is>
      </c>
      <c r="D10" s="2" t="inlineStr">
        <is>
          <t>Lectura de la escala A</t>
        </is>
      </c>
      <c r="E10" t="inlineStr">
        <is>
          <t>odds</t>
        </is>
      </c>
      <c r="F10" t="inlineStr">
        <is>
          <t>PD</t>
        </is>
      </c>
    </row>
    <row r="11">
      <c r="A11" t="inlineStr">
        <is>
          <t>error máximo del score = n/2</t>
        </is>
      </c>
      <c r="B11" s="10">
        <f>B7/2</f>
        <v/>
      </c>
      <c r="D11" t="n">
        <v>580</v>
      </c>
      <c r="E11" s="14">
        <f>EXP((580-$B$5)/$B$4)</f>
        <v/>
      </c>
      <c r="F11" s="29">
        <f>1/(1+E11)</f>
        <v/>
      </c>
    </row>
    <row r="12">
      <c r="A12" t="inlineStr">
        <is>
          <t>sd del error si los errores por fila fueran uniformes independientes = √(n/12)</t>
        </is>
      </c>
      <c r="B12" s="30">
        <f>SQRT(B7/12)</f>
        <v/>
      </c>
      <c r="D12" t="n">
        <v>600</v>
      </c>
      <c r="E12" s="14">
        <f>EXP((600-$B$5)/$B$4)</f>
        <v/>
      </c>
      <c r="F12" s="29">
        <f>1/(1+E12)</f>
        <v/>
      </c>
    </row>
    <row r="13">
      <c r="A13" t="inlineStr">
        <is>
          <t>E|error| bajo ese supuesto = √(n/12)·√(2/π)</t>
        </is>
      </c>
      <c r="B13" s="30">
        <f>SQRT(B7/12)*SQRT(2/PI())</f>
        <v/>
      </c>
      <c r="D13" t="n">
        <v>620</v>
      </c>
      <c r="E13" s="14">
        <f>EXP((620-$B$5)/$B$4)</f>
        <v/>
      </c>
      <c r="F13" s="29">
        <f>1/(1+E13)</f>
        <v/>
      </c>
    </row>
    <row r="14">
      <c r="A14" t="inlineStr">
        <is>
          <t>error relativo máximo en odds = EXP((n/2)/factor) − 1</t>
        </is>
      </c>
      <c r="B14" s="31">
        <f>EXP(B11/B4)-1</f>
        <v/>
      </c>
    </row>
    <row r="15">
      <c r="A15" t="inlineStr">
        <is>
          <t>error relativo típico en odds = EXP(E|error|/factor) − 1</t>
        </is>
      </c>
      <c r="B15" s="31">
        <f>EXP(B13/B4)-1</f>
        <v/>
      </c>
    </row>
    <row r="16">
      <c r="A16" t="inlineStr">
        <is>
          <t>desplazamiento del score por δ = δ·factor</t>
        </is>
      </c>
      <c r="B16" s="8">
        <f>B6*B4</f>
        <v/>
      </c>
    </row>
    <row r="17">
      <c r="A17" t="inlineStr">
        <is>
          <t>desplazamiento por variable si se re-escala la tabla = δ·factor/n</t>
        </is>
      </c>
      <c r="B17" s="8">
        <f>B6*B4/B7</f>
        <v/>
      </c>
    </row>
    <row r="20" ht="45" customHeight="1">
      <c r="A20" s="11" t="inlineStr">
        <is>
          <t>score A</t>
        </is>
      </c>
      <c r="B20" s="11" t="inlineStr">
        <is>
          <t>log-odds buenos</t>
        </is>
      </c>
      <c r="C20" s="11" t="inlineStr">
        <is>
          <t>odds buenos:malos</t>
        </is>
      </c>
      <c r="D20" s="11" t="inlineStr">
        <is>
          <t>PD</t>
        </is>
      </c>
      <c r="E20" s="11" t="inlineStr">
        <is>
          <t>PD si score −n/2</t>
        </is>
      </c>
      <c r="F20" s="11" t="inlineStr">
        <is>
          <t>PD si score +n/2</t>
        </is>
      </c>
      <c r="G20" s="11" t="inlineStr">
        <is>
          <t>PD calibrada (δ)</t>
        </is>
      </c>
      <c r="H20" s="11" t="inlineStr">
        <is>
          <t>score A calibrado = score − δ·factor</t>
        </is>
      </c>
      <c r="I20" s="11" t="inlineStr">
        <is>
          <t>score en escala B</t>
        </is>
      </c>
      <c r="J20" s="11" t="inlineStr">
        <is>
          <t>PD en escala B (chequeo)</t>
        </is>
      </c>
    </row>
    <row r="21">
      <c r="A21" s="16">
        <f>$H$4</f>
        <v/>
      </c>
      <c r="B21" s="18">
        <f>(A21-$B$5)/$B$4</f>
        <v/>
      </c>
      <c r="C21" s="13">
        <f>EXP(B21)</f>
        <v/>
      </c>
      <c r="D21" s="29">
        <f>1/(1+C21)</f>
        <v/>
      </c>
      <c r="E21" s="29">
        <f>1/(1+EXP((A21-$B$7/2-$B$5)/$B$4))</f>
        <v/>
      </c>
      <c r="F21" s="29">
        <f>1/(1+EXP((A21+$B$7/2-$B$5)/$B$4))</f>
        <v/>
      </c>
      <c r="G21" s="29">
        <f>1/(1+C21*EXP(-$B$6))</f>
        <v/>
      </c>
      <c r="H21" s="14">
        <f>A21-$B$6*$B$4</f>
        <v/>
      </c>
      <c r="I21" s="14">
        <f>$E$8+$E$7/$B$4*(A21-$B$5)</f>
        <v/>
      </c>
      <c r="J21" s="29">
        <f>1/(1+EXP((I21-$E$8)/$E$7))</f>
        <v/>
      </c>
    </row>
    <row r="22">
      <c r="A22" s="16">
        <f>A21+$H$5</f>
        <v/>
      </c>
      <c r="B22" s="18">
        <f>(A22-$B$5)/$B$4</f>
        <v/>
      </c>
      <c r="C22" s="13">
        <f>EXP(B22)</f>
        <v/>
      </c>
      <c r="D22" s="29">
        <f>1/(1+C22)</f>
        <v/>
      </c>
      <c r="E22" s="29">
        <f>1/(1+EXP((A22-$B$7/2-$B$5)/$B$4))</f>
        <v/>
      </c>
      <c r="F22" s="29">
        <f>1/(1+EXP((A22+$B$7/2-$B$5)/$B$4))</f>
        <v/>
      </c>
      <c r="G22" s="29">
        <f>1/(1+C22*EXP(-$B$6))</f>
        <v/>
      </c>
      <c r="H22" s="14">
        <f>A22-$B$6*$B$4</f>
        <v/>
      </c>
      <c r="I22" s="14">
        <f>$E$8+$E$7/$B$4*(A22-$B$5)</f>
        <v/>
      </c>
      <c r="J22" s="29">
        <f>1/(1+EXP((I22-$E$8)/$E$7))</f>
        <v/>
      </c>
    </row>
    <row r="23">
      <c r="A23" s="16">
        <f>A22+$H$5</f>
        <v/>
      </c>
      <c r="B23" s="18">
        <f>(A23-$B$5)/$B$4</f>
        <v/>
      </c>
      <c r="C23" s="13">
        <f>EXP(B23)</f>
        <v/>
      </c>
      <c r="D23" s="29">
        <f>1/(1+C23)</f>
        <v/>
      </c>
      <c r="E23" s="29">
        <f>1/(1+EXP((A23-$B$7/2-$B$5)/$B$4))</f>
        <v/>
      </c>
      <c r="F23" s="29">
        <f>1/(1+EXP((A23+$B$7/2-$B$5)/$B$4))</f>
        <v/>
      </c>
      <c r="G23" s="29">
        <f>1/(1+C23*EXP(-$B$6))</f>
        <v/>
      </c>
      <c r="H23" s="14">
        <f>A23-$B$6*$B$4</f>
        <v/>
      </c>
      <c r="I23" s="14">
        <f>$E$8+$E$7/$B$4*(A23-$B$5)</f>
        <v/>
      </c>
      <c r="J23" s="29">
        <f>1/(1+EXP((I23-$E$8)/$E$7))</f>
        <v/>
      </c>
    </row>
    <row r="24">
      <c r="A24" s="16">
        <f>A23+$H$5</f>
        <v/>
      </c>
      <c r="B24" s="18">
        <f>(A24-$B$5)/$B$4</f>
        <v/>
      </c>
      <c r="C24" s="13">
        <f>EXP(B24)</f>
        <v/>
      </c>
      <c r="D24" s="29">
        <f>1/(1+C24)</f>
        <v/>
      </c>
      <c r="E24" s="29">
        <f>1/(1+EXP((A24-$B$7/2-$B$5)/$B$4))</f>
        <v/>
      </c>
      <c r="F24" s="29">
        <f>1/(1+EXP((A24+$B$7/2-$B$5)/$B$4))</f>
        <v/>
      </c>
      <c r="G24" s="29">
        <f>1/(1+C24*EXP(-$B$6))</f>
        <v/>
      </c>
      <c r="H24" s="14">
        <f>A24-$B$6*$B$4</f>
        <v/>
      </c>
      <c r="I24" s="14">
        <f>$E$8+$E$7/$B$4*(A24-$B$5)</f>
        <v/>
      </c>
      <c r="J24" s="29">
        <f>1/(1+EXP((I24-$E$8)/$E$7))</f>
        <v/>
      </c>
    </row>
    <row r="25">
      <c r="A25" s="16">
        <f>A24+$H$5</f>
        <v/>
      </c>
      <c r="B25" s="18">
        <f>(A25-$B$5)/$B$4</f>
        <v/>
      </c>
      <c r="C25" s="13">
        <f>EXP(B25)</f>
        <v/>
      </c>
      <c r="D25" s="29">
        <f>1/(1+C25)</f>
        <v/>
      </c>
      <c r="E25" s="29">
        <f>1/(1+EXP((A25-$B$7/2-$B$5)/$B$4))</f>
        <v/>
      </c>
      <c r="F25" s="29">
        <f>1/(1+EXP((A25+$B$7/2-$B$5)/$B$4))</f>
        <v/>
      </c>
      <c r="G25" s="29">
        <f>1/(1+C25*EXP(-$B$6))</f>
        <v/>
      </c>
      <c r="H25" s="14">
        <f>A25-$B$6*$B$4</f>
        <v/>
      </c>
      <c r="I25" s="14">
        <f>$E$8+$E$7/$B$4*(A25-$B$5)</f>
        <v/>
      </c>
      <c r="J25" s="29">
        <f>1/(1+EXP((I25-$E$8)/$E$7))</f>
        <v/>
      </c>
    </row>
    <row r="26">
      <c r="A26" s="16">
        <f>A25+$H$5</f>
        <v/>
      </c>
      <c r="B26" s="18">
        <f>(A26-$B$5)/$B$4</f>
        <v/>
      </c>
      <c r="C26" s="13">
        <f>EXP(B26)</f>
        <v/>
      </c>
      <c r="D26" s="29">
        <f>1/(1+C26)</f>
        <v/>
      </c>
      <c r="E26" s="29">
        <f>1/(1+EXP((A26-$B$7/2-$B$5)/$B$4))</f>
        <v/>
      </c>
      <c r="F26" s="29">
        <f>1/(1+EXP((A26+$B$7/2-$B$5)/$B$4))</f>
        <v/>
      </c>
      <c r="G26" s="29">
        <f>1/(1+C26*EXP(-$B$6))</f>
        <v/>
      </c>
      <c r="H26" s="14">
        <f>A26-$B$6*$B$4</f>
        <v/>
      </c>
      <c r="I26" s="14">
        <f>$E$8+$E$7/$B$4*(A26-$B$5)</f>
        <v/>
      </c>
      <c r="J26" s="29">
        <f>1/(1+EXP((I26-$E$8)/$E$7))</f>
        <v/>
      </c>
    </row>
    <row r="27">
      <c r="A27" s="16">
        <f>A26+$H$5</f>
        <v/>
      </c>
      <c r="B27" s="18">
        <f>(A27-$B$5)/$B$4</f>
        <v/>
      </c>
      <c r="C27" s="13">
        <f>EXP(B27)</f>
        <v/>
      </c>
      <c r="D27" s="29">
        <f>1/(1+C27)</f>
        <v/>
      </c>
      <c r="E27" s="29">
        <f>1/(1+EXP((A27-$B$7/2-$B$5)/$B$4))</f>
        <v/>
      </c>
      <c r="F27" s="29">
        <f>1/(1+EXP((A27+$B$7/2-$B$5)/$B$4))</f>
        <v/>
      </c>
      <c r="G27" s="29">
        <f>1/(1+C27*EXP(-$B$6))</f>
        <v/>
      </c>
      <c r="H27" s="14">
        <f>A27-$B$6*$B$4</f>
        <v/>
      </c>
      <c r="I27" s="14">
        <f>$E$8+$E$7/$B$4*(A27-$B$5)</f>
        <v/>
      </c>
      <c r="J27" s="29">
        <f>1/(1+EXP((I27-$E$8)/$E$7))</f>
        <v/>
      </c>
    </row>
    <row r="28">
      <c r="A28" s="16">
        <f>A27+$H$5</f>
        <v/>
      </c>
      <c r="B28" s="18">
        <f>(A28-$B$5)/$B$4</f>
        <v/>
      </c>
      <c r="C28" s="13">
        <f>EXP(B28)</f>
        <v/>
      </c>
      <c r="D28" s="29">
        <f>1/(1+C28)</f>
        <v/>
      </c>
      <c r="E28" s="29">
        <f>1/(1+EXP((A28-$B$7/2-$B$5)/$B$4))</f>
        <v/>
      </c>
      <c r="F28" s="29">
        <f>1/(1+EXP((A28+$B$7/2-$B$5)/$B$4))</f>
        <v/>
      </c>
      <c r="G28" s="29">
        <f>1/(1+C28*EXP(-$B$6))</f>
        <v/>
      </c>
      <c r="H28" s="14">
        <f>A28-$B$6*$B$4</f>
        <v/>
      </c>
      <c r="I28" s="14">
        <f>$E$8+$E$7/$B$4*(A28-$B$5)</f>
        <v/>
      </c>
      <c r="J28" s="29">
        <f>1/(1+EXP((I28-$E$8)/$E$7))</f>
        <v/>
      </c>
    </row>
    <row r="29">
      <c r="A29" s="16">
        <f>A28+$H$5</f>
        <v/>
      </c>
      <c r="B29" s="18">
        <f>(A29-$B$5)/$B$4</f>
        <v/>
      </c>
      <c r="C29" s="13">
        <f>EXP(B29)</f>
        <v/>
      </c>
      <c r="D29" s="29">
        <f>1/(1+C29)</f>
        <v/>
      </c>
      <c r="E29" s="29">
        <f>1/(1+EXP((A29-$B$7/2-$B$5)/$B$4))</f>
        <v/>
      </c>
      <c r="F29" s="29">
        <f>1/(1+EXP((A29+$B$7/2-$B$5)/$B$4))</f>
        <v/>
      </c>
      <c r="G29" s="29">
        <f>1/(1+C29*EXP(-$B$6))</f>
        <v/>
      </c>
      <c r="H29" s="14">
        <f>A29-$B$6*$B$4</f>
        <v/>
      </c>
      <c r="I29" s="14">
        <f>$E$8+$E$7/$B$4*(A29-$B$5)</f>
        <v/>
      </c>
      <c r="J29" s="29">
        <f>1/(1+EXP((I29-$E$8)/$E$7))</f>
        <v/>
      </c>
    </row>
    <row r="30">
      <c r="A30" s="16">
        <f>A29+$H$5</f>
        <v/>
      </c>
      <c r="B30" s="18">
        <f>(A30-$B$5)/$B$4</f>
        <v/>
      </c>
      <c r="C30" s="13">
        <f>EXP(B30)</f>
        <v/>
      </c>
      <c r="D30" s="29">
        <f>1/(1+C30)</f>
        <v/>
      </c>
      <c r="E30" s="29">
        <f>1/(1+EXP((A30-$B$7/2-$B$5)/$B$4))</f>
        <v/>
      </c>
      <c r="F30" s="29">
        <f>1/(1+EXP((A30+$B$7/2-$B$5)/$B$4))</f>
        <v/>
      </c>
      <c r="G30" s="29">
        <f>1/(1+C30*EXP(-$B$6))</f>
        <v/>
      </c>
      <c r="H30" s="14">
        <f>A30-$B$6*$B$4</f>
        <v/>
      </c>
      <c r="I30" s="14">
        <f>$E$8+$E$7/$B$4*(A30-$B$5)</f>
        <v/>
      </c>
      <c r="J30" s="29">
        <f>1/(1+EXP((I30-$E$8)/$E$7))</f>
        <v/>
      </c>
    </row>
    <row r="31">
      <c r="A31" s="16">
        <f>A30+$H$5</f>
        <v/>
      </c>
      <c r="B31" s="18">
        <f>(A31-$B$5)/$B$4</f>
        <v/>
      </c>
      <c r="C31" s="13">
        <f>EXP(B31)</f>
        <v/>
      </c>
      <c r="D31" s="29">
        <f>1/(1+C31)</f>
        <v/>
      </c>
      <c r="E31" s="29">
        <f>1/(1+EXP((A31-$B$7/2-$B$5)/$B$4))</f>
        <v/>
      </c>
      <c r="F31" s="29">
        <f>1/(1+EXP((A31+$B$7/2-$B$5)/$B$4))</f>
        <v/>
      </c>
      <c r="G31" s="29">
        <f>1/(1+C31*EXP(-$B$6))</f>
        <v/>
      </c>
      <c r="H31" s="14">
        <f>A31-$B$6*$B$4</f>
        <v/>
      </c>
      <c r="I31" s="14">
        <f>$E$8+$E$7/$B$4*(A31-$B$5)</f>
        <v/>
      </c>
      <c r="J31" s="29">
        <f>1/(1+EXP((I31-$E$8)/$E$7))</f>
        <v/>
      </c>
    </row>
    <row r="32">
      <c r="A32" s="16">
        <f>A31+$H$5</f>
        <v/>
      </c>
      <c r="B32" s="18">
        <f>(A32-$B$5)/$B$4</f>
        <v/>
      </c>
      <c r="C32" s="13">
        <f>EXP(B32)</f>
        <v/>
      </c>
      <c r="D32" s="29">
        <f>1/(1+C32)</f>
        <v/>
      </c>
      <c r="E32" s="29">
        <f>1/(1+EXP((A32-$B$7/2-$B$5)/$B$4))</f>
        <v/>
      </c>
      <c r="F32" s="29">
        <f>1/(1+EXP((A32+$B$7/2-$B$5)/$B$4))</f>
        <v/>
      </c>
      <c r="G32" s="29">
        <f>1/(1+C32*EXP(-$B$6))</f>
        <v/>
      </c>
      <c r="H32" s="14">
        <f>A32-$B$6*$B$4</f>
        <v/>
      </c>
      <c r="I32" s="14">
        <f>$E$8+$E$7/$B$4*(A32-$B$5)</f>
        <v/>
      </c>
      <c r="J32" s="29">
        <f>1/(1+EXP((I32-$E$8)/$E$7))</f>
        <v/>
      </c>
    </row>
    <row r="33">
      <c r="A33" s="16">
        <f>A32+$H$5</f>
        <v/>
      </c>
      <c r="B33" s="18">
        <f>(A33-$B$5)/$B$4</f>
        <v/>
      </c>
      <c r="C33" s="13">
        <f>EXP(B33)</f>
        <v/>
      </c>
      <c r="D33" s="29">
        <f>1/(1+C33)</f>
        <v/>
      </c>
      <c r="E33" s="29">
        <f>1/(1+EXP((A33-$B$7/2-$B$5)/$B$4))</f>
        <v/>
      </c>
      <c r="F33" s="29">
        <f>1/(1+EXP((A33+$B$7/2-$B$5)/$B$4))</f>
        <v/>
      </c>
      <c r="G33" s="29">
        <f>1/(1+C33*EXP(-$B$6))</f>
        <v/>
      </c>
      <c r="H33" s="14">
        <f>A33-$B$6*$B$4</f>
        <v/>
      </c>
      <c r="I33" s="14">
        <f>$E$8+$E$7/$B$4*(A33-$B$5)</f>
        <v/>
      </c>
      <c r="J33" s="29">
        <f>1/(1+EXP((I33-$E$8)/$E$7))</f>
        <v/>
      </c>
    </row>
    <row r="34">
      <c r="A34" s="16">
        <f>A33+$H$5</f>
        <v/>
      </c>
      <c r="B34" s="18">
        <f>(A34-$B$5)/$B$4</f>
        <v/>
      </c>
      <c r="C34" s="13">
        <f>EXP(B34)</f>
        <v/>
      </c>
      <c r="D34" s="29">
        <f>1/(1+C34)</f>
        <v/>
      </c>
      <c r="E34" s="29">
        <f>1/(1+EXP((A34-$B$7/2-$B$5)/$B$4))</f>
        <v/>
      </c>
      <c r="F34" s="29">
        <f>1/(1+EXP((A34+$B$7/2-$B$5)/$B$4))</f>
        <v/>
      </c>
      <c r="G34" s="29">
        <f>1/(1+C34*EXP(-$B$6))</f>
        <v/>
      </c>
      <c r="H34" s="14">
        <f>A34-$B$6*$B$4</f>
        <v/>
      </c>
      <c r="I34" s="14">
        <f>$E$8+$E$7/$B$4*(A34-$B$5)</f>
        <v/>
      </c>
      <c r="J34" s="29">
        <f>1/(1+EXP((I34-$E$8)/$E$7))</f>
        <v/>
      </c>
    </row>
    <row r="35">
      <c r="A35" s="16">
        <f>A34+$H$5</f>
        <v/>
      </c>
      <c r="B35" s="18">
        <f>(A35-$B$5)/$B$4</f>
        <v/>
      </c>
      <c r="C35" s="13">
        <f>EXP(B35)</f>
        <v/>
      </c>
      <c r="D35" s="29">
        <f>1/(1+C35)</f>
        <v/>
      </c>
      <c r="E35" s="29">
        <f>1/(1+EXP((A35-$B$7/2-$B$5)/$B$4))</f>
        <v/>
      </c>
      <c r="F35" s="29">
        <f>1/(1+EXP((A35+$B$7/2-$B$5)/$B$4))</f>
        <v/>
      </c>
      <c r="G35" s="29">
        <f>1/(1+C35*EXP(-$B$6))</f>
        <v/>
      </c>
      <c r="H35" s="14">
        <f>A35-$B$6*$B$4</f>
        <v/>
      </c>
      <c r="I35" s="14">
        <f>$E$8+$E$7/$B$4*(A35-$B$5)</f>
        <v/>
      </c>
      <c r="J35" s="29">
        <f>1/(1+EXP((I35-$E$8)/$E$7))</f>
        <v/>
      </c>
    </row>
    <row r="36">
      <c r="A36" s="16">
        <f>A35+$H$5</f>
        <v/>
      </c>
      <c r="B36" s="18">
        <f>(A36-$B$5)/$B$4</f>
        <v/>
      </c>
      <c r="C36" s="13">
        <f>EXP(B36)</f>
        <v/>
      </c>
      <c r="D36" s="29">
        <f>1/(1+C36)</f>
        <v/>
      </c>
      <c r="E36" s="29">
        <f>1/(1+EXP((A36-$B$7/2-$B$5)/$B$4))</f>
        <v/>
      </c>
      <c r="F36" s="29">
        <f>1/(1+EXP((A36+$B$7/2-$B$5)/$B$4))</f>
        <v/>
      </c>
      <c r="G36" s="29">
        <f>1/(1+C36*EXP(-$B$6))</f>
        <v/>
      </c>
      <c r="H36" s="14">
        <f>A36-$B$6*$B$4</f>
        <v/>
      </c>
      <c r="I36" s="14">
        <f>$E$8+$E$7/$B$4*(A36-$B$5)</f>
        <v/>
      </c>
      <c r="J36" s="29">
        <f>1/(1+EXP((I36-$E$8)/$E$7))</f>
        <v/>
      </c>
    </row>
    <row r="37">
      <c r="A37" s="16">
        <f>A36+$H$5</f>
        <v/>
      </c>
      <c r="B37" s="18">
        <f>(A37-$B$5)/$B$4</f>
        <v/>
      </c>
      <c r="C37" s="13">
        <f>EXP(B37)</f>
        <v/>
      </c>
      <c r="D37" s="29">
        <f>1/(1+C37)</f>
        <v/>
      </c>
      <c r="E37" s="29">
        <f>1/(1+EXP((A37-$B$7/2-$B$5)/$B$4))</f>
        <v/>
      </c>
      <c r="F37" s="29">
        <f>1/(1+EXP((A37+$B$7/2-$B$5)/$B$4))</f>
        <v/>
      </c>
      <c r="G37" s="29">
        <f>1/(1+C37*EXP(-$B$6))</f>
        <v/>
      </c>
      <c r="H37" s="14">
        <f>A37-$B$6*$B$4</f>
        <v/>
      </c>
      <c r="I37" s="14">
        <f>$E$8+$E$7/$B$4*(A37-$B$5)</f>
        <v/>
      </c>
      <c r="J37" s="29">
        <f>1/(1+EXP((I37-$E$8)/$E$7))</f>
        <v/>
      </c>
    </row>
    <row r="38">
      <c r="A38" s="16">
        <f>A37+$H$5</f>
        <v/>
      </c>
      <c r="B38" s="18">
        <f>(A38-$B$5)/$B$4</f>
        <v/>
      </c>
      <c r="C38" s="13">
        <f>EXP(B38)</f>
        <v/>
      </c>
      <c r="D38" s="29">
        <f>1/(1+C38)</f>
        <v/>
      </c>
      <c r="E38" s="29">
        <f>1/(1+EXP((A38-$B$7/2-$B$5)/$B$4))</f>
        <v/>
      </c>
      <c r="F38" s="29">
        <f>1/(1+EXP((A38+$B$7/2-$B$5)/$B$4))</f>
        <v/>
      </c>
      <c r="G38" s="29">
        <f>1/(1+C38*EXP(-$B$6))</f>
        <v/>
      </c>
      <c r="H38" s="14">
        <f>A38-$B$6*$B$4</f>
        <v/>
      </c>
      <c r="I38" s="14">
        <f>$E$8+$E$7/$B$4*(A38-$B$5)</f>
        <v/>
      </c>
      <c r="J38" s="29">
        <f>1/(1+EXP((I38-$E$8)/$E$7))</f>
        <v/>
      </c>
    </row>
    <row r="39">
      <c r="A39" s="16">
        <f>A38+$H$5</f>
        <v/>
      </c>
      <c r="B39" s="18">
        <f>(A39-$B$5)/$B$4</f>
        <v/>
      </c>
      <c r="C39" s="13">
        <f>EXP(B39)</f>
        <v/>
      </c>
      <c r="D39" s="29">
        <f>1/(1+C39)</f>
        <v/>
      </c>
      <c r="E39" s="29">
        <f>1/(1+EXP((A39-$B$7/2-$B$5)/$B$4))</f>
        <v/>
      </c>
      <c r="F39" s="29">
        <f>1/(1+EXP((A39+$B$7/2-$B$5)/$B$4))</f>
        <v/>
      </c>
      <c r="G39" s="29">
        <f>1/(1+C39*EXP(-$B$6))</f>
        <v/>
      </c>
      <c r="H39" s="14">
        <f>A39-$B$6*$B$4</f>
        <v/>
      </c>
      <c r="I39" s="14">
        <f>$E$8+$E$7/$B$4*(A39-$B$5)</f>
        <v/>
      </c>
      <c r="J39" s="29">
        <f>1/(1+EXP((I39-$E$8)/$E$7))</f>
        <v/>
      </c>
    </row>
    <row r="40">
      <c r="A40" s="16">
        <f>A39+$H$5</f>
        <v/>
      </c>
      <c r="B40" s="18">
        <f>(A40-$B$5)/$B$4</f>
        <v/>
      </c>
      <c r="C40" s="13">
        <f>EXP(B40)</f>
        <v/>
      </c>
      <c r="D40" s="29">
        <f>1/(1+C40)</f>
        <v/>
      </c>
      <c r="E40" s="29">
        <f>1/(1+EXP((A40-$B$7/2-$B$5)/$B$4))</f>
        <v/>
      </c>
      <c r="F40" s="29">
        <f>1/(1+EXP((A40+$B$7/2-$B$5)/$B$4))</f>
        <v/>
      </c>
      <c r="G40" s="29">
        <f>1/(1+C40*EXP(-$B$6))</f>
        <v/>
      </c>
      <c r="H40" s="14">
        <f>A40-$B$6*$B$4</f>
        <v/>
      </c>
      <c r="I40" s="14">
        <f>$E$8+$E$7/$B$4*(A40-$B$5)</f>
        <v/>
      </c>
      <c r="J40" s="29">
        <f>1/(1+EXP((I40-$E$8)/$E$7))</f>
        <v/>
      </c>
    </row>
    <row r="41">
      <c r="A41" s="16">
        <f>A40+$H$5</f>
        <v/>
      </c>
      <c r="B41" s="18">
        <f>(A41-$B$5)/$B$4</f>
        <v/>
      </c>
      <c r="C41" s="13">
        <f>EXP(B41)</f>
        <v/>
      </c>
      <c r="D41" s="29">
        <f>1/(1+C41)</f>
        <v/>
      </c>
      <c r="E41" s="29">
        <f>1/(1+EXP((A41-$B$7/2-$B$5)/$B$4))</f>
        <v/>
      </c>
      <c r="F41" s="29">
        <f>1/(1+EXP((A41+$B$7/2-$B$5)/$B$4))</f>
        <v/>
      </c>
      <c r="G41" s="29">
        <f>1/(1+C41*EXP(-$B$6))</f>
        <v/>
      </c>
      <c r="H41" s="14">
        <f>A41-$B$6*$B$4</f>
        <v/>
      </c>
      <c r="I41" s="14">
        <f>$E$8+$E$7/$B$4*(A41-$B$5)</f>
        <v/>
      </c>
      <c r="J41" s="29">
        <f>1/(1+EXP((I41-$E$8)/$E$7))</f>
        <v/>
      </c>
    </row>
    <row r="42">
      <c r="A42" s="16">
        <f>A41+$H$5</f>
        <v/>
      </c>
      <c r="B42" s="18">
        <f>(A42-$B$5)/$B$4</f>
        <v/>
      </c>
      <c r="C42" s="13">
        <f>EXP(B42)</f>
        <v/>
      </c>
      <c r="D42" s="29">
        <f>1/(1+C42)</f>
        <v/>
      </c>
      <c r="E42" s="29">
        <f>1/(1+EXP((A42-$B$7/2-$B$5)/$B$4))</f>
        <v/>
      </c>
      <c r="F42" s="29">
        <f>1/(1+EXP((A42+$B$7/2-$B$5)/$B$4))</f>
        <v/>
      </c>
      <c r="G42" s="29">
        <f>1/(1+C42*EXP(-$B$6))</f>
        <v/>
      </c>
      <c r="H42" s="14">
        <f>A42-$B$6*$B$4</f>
        <v/>
      </c>
      <c r="I42" s="14">
        <f>$E$8+$E$7/$B$4*(A42-$B$5)</f>
        <v/>
      </c>
      <c r="J42" s="29">
        <f>1/(1+EXP((I42-$E$8)/$E$7))</f>
        <v/>
      </c>
    </row>
    <row r="43">
      <c r="A43" s="16">
        <f>A42+$H$5</f>
        <v/>
      </c>
      <c r="B43" s="18">
        <f>(A43-$B$5)/$B$4</f>
        <v/>
      </c>
      <c r="C43" s="13">
        <f>EXP(B43)</f>
        <v/>
      </c>
      <c r="D43" s="29">
        <f>1/(1+C43)</f>
        <v/>
      </c>
      <c r="E43" s="29">
        <f>1/(1+EXP((A43-$B$7/2-$B$5)/$B$4))</f>
        <v/>
      </c>
      <c r="F43" s="29">
        <f>1/(1+EXP((A43+$B$7/2-$B$5)/$B$4))</f>
        <v/>
      </c>
      <c r="G43" s="29">
        <f>1/(1+C43*EXP(-$B$6))</f>
        <v/>
      </c>
      <c r="H43" s="14">
        <f>A43-$B$6*$B$4</f>
        <v/>
      </c>
      <c r="I43" s="14">
        <f>$E$8+$E$7/$B$4*(A43-$B$5)</f>
        <v/>
      </c>
      <c r="J43" s="29">
        <f>1/(1+EXP((I43-$E$8)/$E$7))</f>
        <v/>
      </c>
    </row>
    <row r="44">
      <c r="A44" s="16">
        <f>A43+$H$5</f>
        <v/>
      </c>
      <c r="B44" s="18">
        <f>(A44-$B$5)/$B$4</f>
        <v/>
      </c>
      <c r="C44" s="13">
        <f>EXP(B44)</f>
        <v/>
      </c>
      <c r="D44" s="29">
        <f>1/(1+C44)</f>
        <v/>
      </c>
      <c r="E44" s="29">
        <f>1/(1+EXP((A44-$B$7/2-$B$5)/$B$4))</f>
        <v/>
      </c>
      <c r="F44" s="29">
        <f>1/(1+EXP((A44+$B$7/2-$B$5)/$B$4))</f>
        <v/>
      </c>
      <c r="G44" s="29">
        <f>1/(1+C44*EXP(-$B$6))</f>
        <v/>
      </c>
      <c r="H44" s="14">
        <f>A44-$B$6*$B$4</f>
        <v/>
      </c>
      <c r="I44" s="14">
        <f>$E$8+$E$7/$B$4*(A44-$B$5)</f>
        <v/>
      </c>
      <c r="J44" s="29">
        <f>1/(1+EXP((I44-$E$8)/$E$7))</f>
        <v/>
      </c>
    </row>
    <row r="45">
      <c r="A45" s="16">
        <f>A44+$H$5</f>
        <v/>
      </c>
      <c r="B45" s="18">
        <f>(A45-$B$5)/$B$4</f>
        <v/>
      </c>
      <c r="C45" s="13">
        <f>EXP(B45)</f>
        <v/>
      </c>
      <c r="D45" s="29">
        <f>1/(1+C45)</f>
        <v/>
      </c>
      <c r="E45" s="29">
        <f>1/(1+EXP((A45-$B$7/2-$B$5)/$B$4))</f>
        <v/>
      </c>
      <c r="F45" s="29">
        <f>1/(1+EXP((A45+$B$7/2-$B$5)/$B$4))</f>
        <v/>
      </c>
      <c r="G45" s="29">
        <f>1/(1+C45*EXP(-$B$6))</f>
        <v/>
      </c>
      <c r="H45" s="14">
        <f>A45-$B$6*$B$4</f>
        <v/>
      </c>
      <c r="I45" s="14">
        <f>$E$8+$E$7/$B$4*(A45-$B$5)</f>
        <v/>
      </c>
      <c r="J45" s="29">
        <f>1/(1+EXP((I45-$E$8)/$E$7))</f>
        <v/>
      </c>
    </row>
    <row r="46">
      <c r="A46" s="16">
        <f>A45+$H$5</f>
        <v/>
      </c>
      <c r="B46" s="18">
        <f>(A46-$B$5)/$B$4</f>
        <v/>
      </c>
      <c r="C46" s="13">
        <f>EXP(B46)</f>
        <v/>
      </c>
      <c r="D46" s="29">
        <f>1/(1+C46)</f>
        <v/>
      </c>
      <c r="E46" s="29">
        <f>1/(1+EXP((A46-$B$7/2-$B$5)/$B$4))</f>
        <v/>
      </c>
      <c r="F46" s="29">
        <f>1/(1+EXP((A46+$B$7/2-$B$5)/$B$4))</f>
        <v/>
      </c>
      <c r="G46" s="29">
        <f>1/(1+C46*EXP(-$B$6))</f>
        <v/>
      </c>
      <c r="H46" s="14">
        <f>A46-$B$6*$B$4</f>
        <v/>
      </c>
      <c r="I46" s="14">
        <f>$E$8+$E$7/$B$4*(A46-$B$5)</f>
        <v/>
      </c>
      <c r="J46" s="29">
        <f>1/(1+EXP((I46-$E$8)/$E$7))</f>
        <v/>
      </c>
    </row>
    <row r="47">
      <c r="A47" s="16">
        <f>A46+$H$5</f>
        <v/>
      </c>
      <c r="B47" s="18">
        <f>(A47-$B$5)/$B$4</f>
        <v/>
      </c>
      <c r="C47" s="13">
        <f>EXP(B47)</f>
        <v/>
      </c>
      <c r="D47" s="29">
        <f>1/(1+C47)</f>
        <v/>
      </c>
      <c r="E47" s="29">
        <f>1/(1+EXP((A47-$B$7/2-$B$5)/$B$4))</f>
        <v/>
      </c>
      <c r="F47" s="29">
        <f>1/(1+EXP((A47+$B$7/2-$B$5)/$B$4))</f>
        <v/>
      </c>
      <c r="G47" s="29">
        <f>1/(1+C47*EXP(-$B$6))</f>
        <v/>
      </c>
      <c r="H47" s="14">
        <f>A47-$B$6*$B$4</f>
        <v/>
      </c>
      <c r="I47" s="14">
        <f>$E$8+$E$7/$B$4*(A47-$B$5)</f>
        <v/>
      </c>
      <c r="J47" s="29">
        <f>1/(1+EXP((I47-$E$8)/$E$7))</f>
        <v/>
      </c>
    </row>
    <row r="48">
      <c r="A48" s="16">
        <f>A47+$H$5</f>
        <v/>
      </c>
      <c r="B48" s="18">
        <f>(A48-$B$5)/$B$4</f>
        <v/>
      </c>
      <c r="C48" s="13">
        <f>EXP(B48)</f>
        <v/>
      </c>
      <c r="D48" s="29">
        <f>1/(1+C48)</f>
        <v/>
      </c>
      <c r="E48" s="29">
        <f>1/(1+EXP((A48-$B$7/2-$B$5)/$B$4))</f>
        <v/>
      </c>
      <c r="F48" s="29">
        <f>1/(1+EXP((A48+$B$7/2-$B$5)/$B$4))</f>
        <v/>
      </c>
      <c r="G48" s="29">
        <f>1/(1+C48*EXP(-$B$6))</f>
        <v/>
      </c>
      <c r="H48" s="14">
        <f>A48-$B$6*$B$4</f>
        <v/>
      </c>
      <c r="I48" s="14">
        <f>$E$8+$E$7/$B$4*(A48-$B$5)</f>
        <v/>
      </c>
      <c r="J48" s="29">
        <f>1/(1+EXP((I48-$E$8)/$E$7))</f>
        <v/>
      </c>
    </row>
    <row r="49">
      <c r="A49" s="16">
        <f>A48+$H$5</f>
        <v/>
      </c>
      <c r="B49" s="18">
        <f>(A49-$B$5)/$B$4</f>
        <v/>
      </c>
      <c r="C49" s="13">
        <f>EXP(B49)</f>
        <v/>
      </c>
      <c r="D49" s="29">
        <f>1/(1+C49)</f>
        <v/>
      </c>
      <c r="E49" s="29">
        <f>1/(1+EXP((A49-$B$7/2-$B$5)/$B$4))</f>
        <v/>
      </c>
      <c r="F49" s="29">
        <f>1/(1+EXP((A49+$B$7/2-$B$5)/$B$4))</f>
        <v/>
      </c>
      <c r="G49" s="29">
        <f>1/(1+C49*EXP(-$B$6))</f>
        <v/>
      </c>
      <c r="H49" s="14">
        <f>A49-$B$6*$B$4</f>
        <v/>
      </c>
      <c r="I49" s="14">
        <f>$E$8+$E$7/$B$4*(A49-$B$5)</f>
        <v/>
      </c>
      <c r="J49" s="29">
        <f>1/(1+EXP((I49-$E$8)/$E$7))</f>
        <v/>
      </c>
    </row>
    <row r="50">
      <c r="A50" s="16">
        <f>A49+$H$5</f>
        <v/>
      </c>
      <c r="B50" s="18">
        <f>(A50-$B$5)/$B$4</f>
        <v/>
      </c>
      <c r="C50" s="13">
        <f>EXP(B50)</f>
        <v/>
      </c>
      <c r="D50" s="29">
        <f>1/(1+C50)</f>
        <v/>
      </c>
      <c r="E50" s="29">
        <f>1/(1+EXP((A50-$B$7/2-$B$5)/$B$4))</f>
        <v/>
      </c>
      <c r="F50" s="29">
        <f>1/(1+EXP((A50+$B$7/2-$B$5)/$B$4))</f>
        <v/>
      </c>
      <c r="G50" s="29">
        <f>1/(1+C50*EXP(-$B$6))</f>
        <v/>
      </c>
      <c r="H50" s="14">
        <f>A50-$B$6*$B$4</f>
        <v/>
      </c>
      <c r="I50" s="14">
        <f>$E$8+$E$7/$B$4*(A50-$B$5)</f>
        <v/>
      </c>
      <c r="J50" s="29">
        <f>1/(1+EXP((I50-$E$8)/$E$7))</f>
        <v/>
      </c>
    </row>
    <row r="51">
      <c r="A51" s="16">
        <f>A50+$H$5</f>
        <v/>
      </c>
      <c r="B51" s="18">
        <f>(A51-$B$5)/$B$4</f>
        <v/>
      </c>
      <c r="C51" s="13">
        <f>EXP(B51)</f>
        <v/>
      </c>
      <c r="D51" s="29">
        <f>1/(1+C51)</f>
        <v/>
      </c>
      <c r="E51" s="29">
        <f>1/(1+EXP((A51-$B$7/2-$B$5)/$B$4))</f>
        <v/>
      </c>
      <c r="F51" s="29">
        <f>1/(1+EXP((A51+$B$7/2-$B$5)/$B$4))</f>
        <v/>
      </c>
      <c r="G51" s="29">
        <f>1/(1+C51*EXP(-$B$6))</f>
        <v/>
      </c>
      <c r="H51" s="14">
        <f>A51-$B$6*$B$4</f>
        <v/>
      </c>
      <c r="I51" s="14">
        <f>$E$8+$E$7/$B$4*(A51-$B$5)</f>
        <v/>
      </c>
      <c r="J51" s="29">
        <f>1/(1+EXP((I51-$E$8)/$E$7))</f>
        <v/>
      </c>
    </row>
    <row r="52">
      <c r="A52" s="16">
        <f>A51+$H$5</f>
        <v/>
      </c>
      <c r="B52" s="18">
        <f>(A52-$B$5)/$B$4</f>
        <v/>
      </c>
      <c r="C52" s="13">
        <f>EXP(B52)</f>
        <v/>
      </c>
      <c r="D52" s="29">
        <f>1/(1+C52)</f>
        <v/>
      </c>
      <c r="E52" s="29">
        <f>1/(1+EXP((A52-$B$7/2-$B$5)/$B$4))</f>
        <v/>
      </c>
      <c r="F52" s="29">
        <f>1/(1+EXP((A52+$B$7/2-$B$5)/$B$4))</f>
        <v/>
      </c>
      <c r="G52" s="29">
        <f>1/(1+C52*EXP(-$B$6))</f>
        <v/>
      </c>
      <c r="H52" s="14">
        <f>A52-$B$6*$B$4</f>
        <v/>
      </c>
      <c r="I52" s="14">
        <f>$E$8+$E$7/$B$4*(A52-$B$5)</f>
        <v/>
      </c>
      <c r="J52" s="29">
        <f>1/(1+EXP((I52-$E$8)/$E$7))</f>
        <v/>
      </c>
    </row>
    <row r="53">
      <c r="A53" s="16">
        <f>A52+$H$5</f>
        <v/>
      </c>
      <c r="B53" s="18">
        <f>(A53-$B$5)/$B$4</f>
        <v/>
      </c>
      <c r="C53" s="13">
        <f>EXP(B53)</f>
        <v/>
      </c>
      <c r="D53" s="29">
        <f>1/(1+C53)</f>
        <v/>
      </c>
      <c r="E53" s="29">
        <f>1/(1+EXP((A53-$B$7/2-$B$5)/$B$4))</f>
        <v/>
      </c>
      <c r="F53" s="29">
        <f>1/(1+EXP((A53+$B$7/2-$B$5)/$B$4))</f>
        <v/>
      </c>
      <c r="G53" s="29">
        <f>1/(1+C53*EXP(-$B$6))</f>
        <v/>
      </c>
      <c r="H53" s="14">
        <f>A53-$B$6*$B$4</f>
        <v/>
      </c>
      <c r="I53" s="14">
        <f>$E$8+$E$7/$B$4*(A53-$B$5)</f>
        <v/>
      </c>
      <c r="J53" s="29">
        <f>1/(1+EXP((I53-$E$8)/$E$7))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2026-09-28T06:13:48Z</dcterms:created>
  <dcterms:modified xmlns:dcterms="http://purl.org/dc/terms/" xmlns:xsi="http://www.w3.org/2001/XMLSchema-instance" xsi:type="dcterms:W3CDTF">2026-09-28T06:13:48Z</dcterms:modified>
</cp:coreProperties>
</file>