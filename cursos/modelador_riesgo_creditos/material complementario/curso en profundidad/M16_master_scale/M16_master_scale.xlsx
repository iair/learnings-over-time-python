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scala_PDO" sheetId="2" state="visible" r:id="rId2"/>
    <sheet xmlns:r="http://schemas.openxmlformats.org/officeDocument/2006/relationships" name="Diseno_PD" sheetId="3" state="visible" r:id="rId3"/>
    <sheet xmlns:r="http://schemas.openxmlformats.org/officeDocument/2006/relationships" name="Valid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4" fontId="0" fillId="2" borderId="1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2" borderId="1" pivotButton="0" quotePrefix="0" xfId="0"/>
    <xf numFmtId="10" fontId="0" fillId="2" borderId="1" pivotButton="0" quotePrefix="0" xfId="0"/>
    <xf numFmtId="1" fontId="0" fillId="2" borderId="1" pivotButton="0" quotePrefix="0" xfId="0"/>
    <xf numFmtId="2" fontId="0" fillId="2" borderId="1" pivotButton="0" quotePrefix="0" xfId="0"/>
    <xf numFmtId="3" fontId="0" fillId="0" borderId="0" pivotButton="0" quotePrefix="0" xfId="0"/>
    <xf numFmtId="1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M16 · Master scale — calculadora</t>
        </is>
      </c>
    </row>
    <row r="2">
      <c r="A2" t="inlineStr">
        <is>
          <t>Serie 2 «Del embudo al gobierno» · módulo M16 · convenciones del curso Modelador de Riesgo de Crédito (Academia Bayes).</t>
        </is>
      </c>
    </row>
    <row r="3">
      <c r="A3" t="inlineStr"/>
    </row>
    <row r="4">
      <c r="A4" s="2" t="inlineStr">
        <is>
          <t>Qué es</t>
        </is>
      </c>
    </row>
    <row r="5">
      <c r="A5" t="inlineStr">
        <is>
          <t>Una calculadora de escala maestra (master scale) anclada al scaling PDO, más una hoja de validación donde se pegan n y malos por banda.</t>
        </is>
      </c>
    </row>
    <row r="6">
      <c r="A6" t="inlineStr"/>
    </row>
    <row r="7">
      <c r="A7" s="2" t="inlineStr">
        <is>
          <t>Hojas</t>
        </is>
      </c>
    </row>
    <row r="8">
      <c r="A8" t="inlineStr">
        <is>
          <t>Escala_PDO: parámetros del scaling (PDO, score ancla, odds ancla) y de la escala (ancho en puntos, nº de bandas, cortes bajo el ancla).</t>
        </is>
      </c>
    </row>
    <row r="9">
      <c r="A9" t="inlineStr">
        <is>
          <t xml:space="preserve">   Calcula por banda: límites de score, odds y PD en piso y techo, PD en el punto medio geométrico, PD media exacta bajo logit uniforme,</t>
        </is>
      </c>
    </row>
    <row r="10">
      <c r="A10" t="inlineStr">
        <is>
          <t xml:space="preserve">   el corte equivalente tras recalibrar con δ (las bandas se mueven δ·factor puntos) y mapea el score de OTRO modelo a la escala.</t>
        </is>
      </c>
    </row>
    <row r="11">
      <c r="A11" t="inlineStr">
        <is>
          <t>Diseno_PD: variante con límites de PD en progresión geométrica (tipo escala de rating) y su equivalente en score.</t>
        </is>
      </c>
    </row>
    <row r="12">
      <c r="A12" t="inlineStr">
        <is>
          <t>Validacion: pegue n, malos y la PD asignada por banda (orden mejor → peor). Calcula tasa, % población, HHI, índice del BCE, monotonía,</t>
        </is>
      </c>
    </row>
    <row r="13">
      <c r="A13" t="inlineStr">
        <is>
          <t xml:space="preserve">   separabilidad con banda adyacente (z de dos proporciones), test binomial y de Jeffreys por banda, IC de Jeffreys 90% y potencia del backtest.</t>
        </is>
      </c>
    </row>
    <row r="14">
      <c r="A14" t="inlineStr"/>
    </row>
    <row r="15">
      <c r="A15" s="2" t="inlineStr">
        <is>
          <t>Cómo usarla</t>
        </is>
      </c>
    </row>
    <row r="16">
      <c r="A16" t="inlineStr">
        <is>
          <t>Solo se editan las celdas con relleno AMARILLO. Todo lo demás son fórmulas. Los valores por defecto reproducen Banco Austral (clases 4 y 5).</t>
        </is>
      </c>
    </row>
    <row r="17">
      <c r="A17" t="inlineStr">
        <is>
          <t>Bandas: hasta 12. Filas inactivas muestran «-». En Validacion deje n vacío para las bandas que no use.</t>
        </is>
      </c>
    </row>
    <row r="18">
      <c r="A18" t="inlineStr"/>
    </row>
    <row r="19">
      <c r="A19" s="2" t="inlineStr">
        <is>
          <t>Supuestos y convenciones</t>
        </is>
      </c>
    </row>
    <row r="20">
      <c r="A20" t="inlineStr">
        <is>
          <t>Target 1 = malo. Odds = buenos:malos. factor = PDO/ln2; offset = score_ancla − factor·ln(odds_ancla). score = offset + factor·ln(odds).</t>
        </is>
      </c>
    </row>
    <row r="21">
      <c r="A21" t="inlineStr">
        <is>
          <t>Un score exactamente en un corte cae en la banda SUPERIOR (right=False del curso).</t>
        </is>
      </c>
    </row>
    <row r="22">
      <c r="A22" t="inlineStr">
        <is>
          <t>Bandas extremas abiertas: no tienen punto medio; su PD de referencia debe venir de la media observada o calibrada (convención a declarar).</t>
        </is>
      </c>
    </row>
    <row r="23">
      <c r="A23" t="inlineStr">
        <is>
          <t>PD media bajo logit uniforme = [ln(1+1/o_piso) − ln(1+1/o_techo)] / ln(o_techo/o_piso): supone densidad plana dentro de la banda.</t>
        </is>
      </c>
    </row>
    <row r="24">
      <c r="A24" t="inlineStr">
        <is>
          <t>Separabilidad: z pooled unilateral (H1: la banda peor tiene más tasa). Binomial: cola superior P(D ≥ malos | PD). Jeffreys: Beta(malos+½, n−malos+½).</t>
        </is>
      </c>
    </row>
    <row r="25">
      <c r="A25" t="inlineStr">
        <is>
          <t>Índice del BCE: HI = 1 + ln(HHI)/ln(K) ∈ [0,1] (instrucciones de reporte de validación del BCE, 2019; verificar la versión vigente).</t>
        </is>
      </c>
    </row>
    <row r="26">
      <c r="A26" t="inlineStr">
        <is>
          <t>Potencia: malos esperados requeridos λ ≈ ((z(1−α) + z(potencia)·√m)/(m−1))², aproximación normal a Poisson (el binomial exacto es algo más exigente).</t>
        </is>
      </c>
    </row>
    <row r="27">
      <c r="A27" t="inlineStr">
        <is>
          <t>Los umbrales (α, potencia, m, % máximo por banda) son convenciones de gobierno, no resultados teóricos.</t>
        </is>
      </c>
    </row>
    <row r="28">
      <c r="A28" t="inlineStr"/>
    </row>
    <row r="29">
      <c r="A29" s="2" t="inlineStr">
        <is>
          <t>Compatibilidad</t>
        </is>
      </c>
    </row>
    <row r="30">
      <c r="A30" t="inlineStr">
        <is>
          <t>Solo funciones presentes en Excel y Google Sheets: LN, EXP, SQRT, SUMPRODUCT, COUNTIF, CHOOSE, INDEX, IF, AND, MAX, MIN, ROUNDUP, BINOM.DIST, BETA.INV, BETA.DIST, NORM.S.DIST, NORM.S.INV.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Escala PDO: bandas geométricas en odds</t>
        </is>
      </c>
    </row>
    <row r="3">
      <c r="A3" s="2" t="inlineStr">
        <is>
          <t>PDO (puntos para duplicar las odds)</t>
        </is>
      </c>
      <c r="B3" s="3" t="n">
        <v>20</v>
      </c>
      <c r="D3" s="2" t="inlineStr">
        <is>
          <t>factor = PDO/ln2</t>
        </is>
      </c>
      <c r="E3" s="4">
        <f>B3/LN(2)</f>
        <v/>
      </c>
    </row>
    <row r="4">
      <c r="A4" s="2" t="inlineStr">
        <is>
          <t>Score ancla</t>
        </is>
      </c>
      <c r="B4" s="3" t="n">
        <v>600</v>
      </c>
      <c r="D4" s="2" t="inlineStr">
        <is>
          <t>offset = ancla − factor·ln(odds)</t>
        </is>
      </c>
      <c r="E4" s="4">
        <f>B4-E3*LN(B5)</f>
        <v/>
      </c>
    </row>
    <row r="5">
      <c r="A5" s="2" t="inlineStr">
        <is>
          <t>Odds ancla (buenos:malos)</t>
        </is>
      </c>
      <c r="B5" s="3" t="n">
        <v>50</v>
      </c>
      <c r="D5" s="2" t="inlineStr">
        <is>
          <t>Duplicaciones de odds por banda</t>
        </is>
      </c>
      <c r="E5" s="5">
        <f>B6/B3</f>
        <v/>
      </c>
    </row>
    <row r="6">
      <c r="A6" s="2" t="inlineStr">
        <is>
          <t>Ancho de banda (puntos)</t>
        </is>
      </c>
      <c r="B6" s="3" t="n">
        <v>20</v>
      </c>
      <c r="D6" s="2" t="inlineStr">
        <is>
          <t>Primer corte (piso de la 2ª peor)</t>
        </is>
      </c>
      <c r="E6" s="6">
        <f>B4-B6*B8</f>
        <v/>
      </c>
    </row>
    <row r="7">
      <c r="A7" s="2" t="inlineStr">
        <is>
          <t>Número de bandas K (2–12)</t>
        </is>
      </c>
      <c r="B7" s="3" t="n">
        <v>8</v>
      </c>
      <c r="D7" s="2" t="inlineStr">
        <is>
          <t>PD en el ancla</t>
        </is>
      </c>
      <c r="E7" s="7">
        <f>1/(1+B5)</f>
        <v/>
      </c>
    </row>
    <row r="8">
      <c r="A8" s="2" t="inlineStr">
        <is>
          <t>Cortes por debajo del ancla</t>
        </is>
      </c>
      <c r="B8" s="3" t="n">
        <v>3</v>
      </c>
      <c r="D8" s="2" t="inlineStr">
        <is>
          <t>Desplazamiento δ·factor (puntos)</t>
        </is>
      </c>
      <c r="E8" s="5">
        <f>B9*E3</f>
        <v/>
      </c>
    </row>
    <row r="9">
      <c r="A9" s="2" t="inlineStr">
        <is>
          <t>δ de recalibración (log-odds)</t>
        </is>
      </c>
      <c r="B9" s="8" t="n">
        <v>0.1115</v>
      </c>
      <c r="D9" s="2" t="inlineStr">
        <is>
          <t>Razón media/punto medio teórica sinh(h/2)/(h/2), h=ln2·ancho/PDO</t>
        </is>
      </c>
      <c r="E9" s="4">
        <f>((EXP(E5*LN(2)/2)-EXP(-E5*LN(2)/2))/2)/(E5*LN(2)/2)</f>
        <v/>
      </c>
    </row>
    <row r="12" ht="45" customHeight="1">
      <c r="A12" s="9" t="inlineStr">
        <is>
          <t>i (1 = mejor)</t>
        </is>
      </c>
      <c r="B12" s="9" t="inlineStr">
        <is>
          <t>Banda</t>
        </is>
      </c>
      <c r="C12" s="9" t="inlineStr">
        <is>
          <t>Activa</t>
        </is>
      </c>
      <c r="D12" s="9" t="inlineStr">
        <is>
          <t>Score piso</t>
        </is>
      </c>
      <c r="E12" s="9" t="inlineStr">
        <is>
          <t>Score techo</t>
        </is>
      </c>
      <c r="F12" s="9" t="inlineStr">
        <is>
          <t>Odds en piso</t>
        </is>
      </c>
      <c r="G12" s="9" t="inlineStr">
        <is>
          <t>Odds en techo</t>
        </is>
      </c>
      <c r="H12" s="9" t="inlineStr">
        <is>
          <t>PD en piso (máx.)</t>
        </is>
      </c>
      <c r="I12" s="9" t="inlineStr">
        <is>
          <t>PD en techo (mín.)</t>
        </is>
      </c>
      <c r="J12" s="9" t="inlineStr">
        <is>
          <t>Odds punto medio geom.</t>
        </is>
      </c>
      <c r="K12" s="9" t="inlineStr">
        <is>
          <t>PD punto medio geom.</t>
        </is>
      </c>
      <c r="L12" s="9" t="inlineStr">
        <is>
          <t>PD media logit uniforme</t>
        </is>
      </c>
      <c r="M12" s="9" t="inlineStr">
        <is>
          <t>Media / punto medio</t>
        </is>
      </c>
      <c r="N12" s="9" t="inlineStr">
        <is>
          <t>PD cal. media Austral (ref.)</t>
        </is>
      </c>
      <c r="O12" s="9" t="inlineStr">
        <is>
          <t>Piso en score SIN recalibrar (+δ·factor)</t>
        </is>
      </c>
    </row>
    <row r="13">
      <c r="A13" t="n">
        <v>1</v>
      </c>
      <c r="B13">
        <f>IF(A13&gt;$B$7,"-",IF($B$7=8,CHOOSE(A13,"A1","A2","B1","B2","C1","C2","D","E"),"R"&amp;A13))</f>
        <v/>
      </c>
      <c r="C13">
        <f>IF(A13&lt;=$B$7,1,0)</f>
        <v/>
      </c>
      <c r="D13" s="10">
        <f>IF(AND(C13=1,A13&lt;$B$7),$E$6+$B$6*($B$7-1-A13),IF(C13=1,"abierta","-"))</f>
        <v/>
      </c>
      <c r="E13" s="10">
        <f>IF(AND(C13=1,A13&gt;1),$E$6+$B$6*($B$7-A13),IF(C13=1,"abierta","-"))</f>
        <v/>
      </c>
      <c r="F13" s="11">
        <f>IF(ISNUMBER(D13),$B$5*2^((D13-$B$4)/$B$3),"-")</f>
        <v/>
      </c>
      <c r="G13" s="11">
        <f>IF(ISNUMBER(E13),$B$5*2^((E13-$B$4)/$B$3),"-")</f>
        <v/>
      </c>
      <c r="H13" s="12">
        <f>IF(ISNUMBER(F13),1/(1+F13),"-")</f>
        <v/>
      </c>
      <c r="I13" s="12">
        <f>IF(ISNUMBER(G13),1/(1+G13),"-")</f>
        <v/>
      </c>
      <c r="J13" s="11">
        <f>IF(AND(ISNUMBER(F13),ISNUMBER(G13)),SQRT(F13*G13),"-")</f>
        <v/>
      </c>
      <c r="K13" s="12">
        <f>IF(ISNUMBER(J13),1/(1+J13),"-")</f>
        <v/>
      </c>
      <c r="L13" s="12">
        <f>IF(ISNUMBER(J13),(LN(1+1/F13)-LN(1+1/G13))/LN(G13/F13),"-")</f>
        <v/>
      </c>
      <c r="M13" s="13">
        <f>IF(ISNUMBER(J13),L13/K13,"-")</f>
        <v/>
      </c>
      <c r="N13" s="14" t="n">
        <v>0.0011</v>
      </c>
      <c r="O13" s="11">
        <f>IF(ISNUMBER(D13),D13+$E$8,D13)</f>
        <v/>
      </c>
    </row>
    <row r="14">
      <c r="A14" t="n">
        <v>2</v>
      </c>
      <c r="B14">
        <f>IF(A14&gt;$B$7,"-",IF($B$7=8,CHOOSE(A14,"A1","A2","B1","B2","C1","C2","D","E"),"R"&amp;A14))</f>
        <v/>
      </c>
      <c r="C14">
        <f>IF(A14&lt;=$B$7,1,0)</f>
        <v/>
      </c>
      <c r="D14" s="10">
        <f>IF(AND(C14=1,A14&lt;$B$7),$E$6+$B$6*($B$7-1-A14),IF(C14=1,"abierta","-"))</f>
        <v/>
      </c>
      <c r="E14" s="10">
        <f>IF(AND(C14=1,A14&gt;1),$E$6+$B$6*($B$7-A14),IF(C14=1,"abierta","-"))</f>
        <v/>
      </c>
      <c r="F14" s="11">
        <f>IF(ISNUMBER(D14),$B$5*2^((D14-$B$4)/$B$3),"-")</f>
        <v/>
      </c>
      <c r="G14" s="11">
        <f>IF(ISNUMBER(E14),$B$5*2^((E14-$B$4)/$B$3),"-")</f>
        <v/>
      </c>
      <c r="H14" s="12">
        <f>IF(ISNUMBER(F14),1/(1+F14),"-")</f>
        <v/>
      </c>
      <c r="I14" s="12">
        <f>IF(ISNUMBER(G14),1/(1+G14),"-")</f>
        <v/>
      </c>
      <c r="J14" s="11">
        <f>IF(AND(ISNUMBER(F14),ISNUMBER(G14)),SQRT(F14*G14),"-")</f>
        <v/>
      </c>
      <c r="K14" s="12">
        <f>IF(ISNUMBER(J14),1/(1+J14),"-")</f>
        <v/>
      </c>
      <c r="L14" s="12">
        <f>IF(ISNUMBER(J14),(LN(1+1/F14)-LN(1+1/G14))/LN(G14/F14),"-")</f>
        <v/>
      </c>
      <c r="M14" s="13">
        <f>IF(ISNUMBER(J14),L14/K14,"-")</f>
        <v/>
      </c>
      <c r="N14" s="14" t="n">
        <v>0.0036</v>
      </c>
      <c r="O14" s="11">
        <f>IF(ISNUMBER(D14),D14+$E$8,D14)</f>
        <v/>
      </c>
    </row>
    <row r="15">
      <c r="A15" t="n">
        <v>3</v>
      </c>
      <c r="B15">
        <f>IF(A15&gt;$B$7,"-",IF($B$7=8,CHOOSE(A15,"A1","A2","B1","B2","C1","C2","D","E"),"R"&amp;A15))</f>
        <v/>
      </c>
      <c r="C15">
        <f>IF(A15&lt;=$B$7,1,0)</f>
        <v/>
      </c>
      <c r="D15" s="10">
        <f>IF(AND(C15=1,A15&lt;$B$7),$E$6+$B$6*($B$7-1-A15),IF(C15=1,"abierta","-"))</f>
        <v/>
      </c>
      <c r="E15" s="10">
        <f>IF(AND(C15=1,A15&gt;1),$E$6+$B$6*($B$7-A15),IF(C15=1,"abierta","-"))</f>
        <v/>
      </c>
      <c r="F15" s="11">
        <f>IF(ISNUMBER(D15),$B$5*2^((D15-$B$4)/$B$3),"-")</f>
        <v/>
      </c>
      <c r="G15" s="11">
        <f>IF(ISNUMBER(E15),$B$5*2^((E15-$B$4)/$B$3),"-")</f>
        <v/>
      </c>
      <c r="H15" s="12">
        <f>IF(ISNUMBER(F15),1/(1+F15),"-")</f>
        <v/>
      </c>
      <c r="I15" s="12">
        <f>IF(ISNUMBER(G15),1/(1+G15),"-")</f>
        <v/>
      </c>
      <c r="J15" s="11">
        <f>IF(AND(ISNUMBER(F15),ISNUMBER(G15)),SQRT(F15*G15),"-")</f>
        <v/>
      </c>
      <c r="K15" s="12">
        <f>IF(ISNUMBER(J15),1/(1+J15),"-")</f>
        <v/>
      </c>
      <c r="L15" s="12">
        <f>IF(ISNUMBER(J15),(LN(1+1/F15)-LN(1+1/G15))/LN(G15/F15),"-")</f>
        <v/>
      </c>
      <c r="M15" s="13">
        <f>IF(ISNUMBER(J15),L15/K15,"-")</f>
        <v/>
      </c>
      <c r="N15" s="14" t="n">
        <v>0.0072</v>
      </c>
      <c r="O15" s="11">
        <f>IF(ISNUMBER(D15),D15+$E$8,D15)</f>
        <v/>
      </c>
    </row>
    <row r="16">
      <c r="A16" t="n">
        <v>4</v>
      </c>
      <c r="B16">
        <f>IF(A16&gt;$B$7,"-",IF($B$7=8,CHOOSE(A16,"A1","A2","B1","B2","C1","C2","D","E"),"R"&amp;A16))</f>
        <v/>
      </c>
      <c r="C16">
        <f>IF(A16&lt;=$B$7,1,0)</f>
        <v/>
      </c>
      <c r="D16" s="10">
        <f>IF(AND(C16=1,A16&lt;$B$7),$E$6+$B$6*($B$7-1-A16),IF(C16=1,"abierta","-"))</f>
        <v/>
      </c>
      <c r="E16" s="10">
        <f>IF(AND(C16=1,A16&gt;1),$E$6+$B$6*($B$7-A16),IF(C16=1,"abierta","-"))</f>
        <v/>
      </c>
      <c r="F16" s="11">
        <f>IF(ISNUMBER(D16),$B$5*2^((D16-$B$4)/$B$3),"-")</f>
        <v/>
      </c>
      <c r="G16" s="11">
        <f>IF(ISNUMBER(E16),$B$5*2^((E16-$B$4)/$B$3),"-")</f>
        <v/>
      </c>
      <c r="H16" s="12">
        <f>IF(ISNUMBER(F16),1/(1+F16),"-")</f>
        <v/>
      </c>
      <c r="I16" s="12">
        <f>IF(ISNUMBER(G16),1/(1+G16),"-")</f>
        <v/>
      </c>
      <c r="J16" s="11">
        <f>IF(AND(ISNUMBER(F16),ISNUMBER(G16)),SQRT(F16*G16),"-")</f>
        <v/>
      </c>
      <c r="K16" s="12">
        <f>IF(ISNUMBER(J16),1/(1+J16),"-")</f>
        <v/>
      </c>
      <c r="L16" s="12">
        <f>IF(ISNUMBER(J16),(LN(1+1/F16)-LN(1+1/G16))/LN(G16/F16),"-")</f>
        <v/>
      </c>
      <c r="M16" s="13">
        <f>IF(ISNUMBER(J16),L16/K16,"-")</f>
        <v/>
      </c>
      <c r="N16" s="14" t="n">
        <v>0.0141</v>
      </c>
      <c r="O16" s="11">
        <f>IF(ISNUMBER(D16),D16+$E$8,D16)</f>
        <v/>
      </c>
    </row>
    <row r="17">
      <c r="A17" t="n">
        <v>5</v>
      </c>
      <c r="B17">
        <f>IF(A17&gt;$B$7,"-",IF($B$7=8,CHOOSE(A17,"A1","A2","B1","B2","C1","C2","D","E"),"R"&amp;A17))</f>
        <v/>
      </c>
      <c r="C17">
        <f>IF(A17&lt;=$B$7,1,0)</f>
        <v/>
      </c>
      <c r="D17" s="10">
        <f>IF(AND(C17=1,A17&lt;$B$7),$E$6+$B$6*($B$7-1-A17),IF(C17=1,"abierta","-"))</f>
        <v/>
      </c>
      <c r="E17" s="10">
        <f>IF(AND(C17=1,A17&gt;1),$E$6+$B$6*($B$7-A17),IF(C17=1,"abierta","-"))</f>
        <v/>
      </c>
      <c r="F17" s="11">
        <f>IF(ISNUMBER(D17),$B$5*2^((D17-$B$4)/$B$3),"-")</f>
        <v/>
      </c>
      <c r="G17" s="11">
        <f>IF(ISNUMBER(E17),$B$5*2^((E17-$B$4)/$B$3),"-")</f>
        <v/>
      </c>
      <c r="H17" s="12">
        <f>IF(ISNUMBER(F17),1/(1+F17),"-")</f>
        <v/>
      </c>
      <c r="I17" s="12">
        <f>IF(ISNUMBER(G17),1/(1+G17),"-")</f>
        <v/>
      </c>
      <c r="J17" s="11">
        <f>IF(AND(ISNUMBER(F17),ISNUMBER(G17)),SQRT(F17*G17),"-")</f>
        <v/>
      </c>
      <c r="K17" s="12">
        <f>IF(ISNUMBER(J17),1/(1+J17),"-")</f>
        <v/>
      </c>
      <c r="L17" s="12">
        <f>IF(ISNUMBER(J17),(LN(1+1/F17)-LN(1+1/G17))/LN(G17/F17),"-")</f>
        <v/>
      </c>
      <c r="M17" s="13">
        <f>IF(ISNUMBER(J17),L17/K17,"-")</f>
        <v/>
      </c>
      <c r="N17" s="14" t="n">
        <v>0.0279</v>
      </c>
      <c r="O17" s="11">
        <f>IF(ISNUMBER(D17),D17+$E$8,D17)</f>
        <v/>
      </c>
    </row>
    <row r="18">
      <c r="A18" t="n">
        <v>6</v>
      </c>
      <c r="B18">
        <f>IF(A18&gt;$B$7,"-",IF($B$7=8,CHOOSE(A18,"A1","A2","B1","B2","C1","C2","D","E"),"R"&amp;A18))</f>
        <v/>
      </c>
      <c r="C18">
        <f>IF(A18&lt;=$B$7,1,0)</f>
        <v/>
      </c>
      <c r="D18" s="10">
        <f>IF(AND(C18=1,A18&lt;$B$7),$E$6+$B$6*($B$7-1-A18),IF(C18=1,"abierta","-"))</f>
        <v/>
      </c>
      <c r="E18" s="10">
        <f>IF(AND(C18=1,A18&gt;1),$E$6+$B$6*($B$7-A18),IF(C18=1,"abierta","-"))</f>
        <v/>
      </c>
      <c r="F18" s="11">
        <f>IF(ISNUMBER(D18),$B$5*2^((D18-$B$4)/$B$3),"-")</f>
        <v/>
      </c>
      <c r="G18" s="11">
        <f>IF(ISNUMBER(E18),$B$5*2^((E18-$B$4)/$B$3),"-")</f>
        <v/>
      </c>
      <c r="H18" s="12">
        <f>IF(ISNUMBER(F18),1/(1+F18),"-")</f>
        <v/>
      </c>
      <c r="I18" s="12">
        <f>IF(ISNUMBER(G18),1/(1+G18),"-")</f>
        <v/>
      </c>
      <c r="J18" s="11">
        <f>IF(AND(ISNUMBER(F18),ISNUMBER(G18)),SQRT(F18*G18),"-")</f>
        <v/>
      </c>
      <c r="K18" s="12">
        <f>IF(ISNUMBER(J18),1/(1+J18),"-")</f>
        <v/>
      </c>
      <c r="L18" s="12">
        <f>IF(ISNUMBER(J18),(LN(1+1/F18)-LN(1+1/G18))/LN(G18/F18),"-")</f>
        <v/>
      </c>
      <c r="M18" s="13">
        <f>IF(ISNUMBER(J18),L18/K18,"-")</f>
        <v/>
      </c>
      <c r="N18" s="14" t="n">
        <v>0.0543</v>
      </c>
      <c r="O18" s="11">
        <f>IF(ISNUMBER(D18),D18+$E$8,D18)</f>
        <v/>
      </c>
    </row>
    <row r="19">
      <c r="A19" t="n">
        <v>7</v>
      </c>
      <c r="B19">
        <f>IF(A19&gt;$B$7,"-",IF($B$7=8,CHOOSE(A19,"A1","A2","B1","B2","C1","C2","D","E"),"R"&amp;A19))</f>
        <v/>
      </c>
      <c r="C19">
        <f>IF(A19&lt;=$B$7,1,0)</f>
        <v/>
      </c>
      <c r="D19" s="10">
        <f>IF(AND(C19=1,A19&lt;$B$7),$E$6+$B$6*($B$7-1-A19),IF(C19=1,"abierta","-"))</f>
        <v/>
      </c>
      <c r="E19" s="10">
        <f>IF(AND(C19=1,A19&gt;1),$E$6+$B$6*($B$7-A19),IF(C19=1,"abierta","-"))</f>
        <v/>
      </c>
      <c r="F19" s="11">
        <f>IF(ISNUMBER(D19),$B$5*2^((D19-$B$4)/$B$3),"-")</f>
        <v/>
      </c>
      <c r="G19" s="11">
        <f>IF(ISNUMBER(E19),$B$5*2^((E19-$B$4)/$B$3),"-")</f>
        <v/>
      </c>
      <c r="H19" s="12">
        <f>IF(ISNUMBER(F19),1/(1+F19),"-")</f>
        <v/>
      </c>
      <c r="I19" s="12">
        <f>IF(ISNUMBER(G19),1/(1+G19),"-")</f>
        <v/>
      </c>
      <c r="J19" s="11">
        <f>IF(AND(ISNUMBER(F19),ISNUMBER(G19)),SQRT(F19*G19),"-")</f>
        <v/>
      </c>
      <c r="K19" s="12">
        <f>IF(ISNUMBER(J19),1/(1+J19),"-")</f>
        <v/>
      </c>
      <c r="L19" s="12">
        <f>IF(ISNUMBER(J19),(LN(1+1/F19)-LN(1+1/G19))/LN(G19/F19),"-")</f>
        <v/>
      </c>
      <c r="M19" s="13">
        <f>IF(ISNUMBER(J19),L19/K19,"-")</f>
        <v/>
      </c>
      <c r="N19" s="14" t="n">
        <v>0.1016</v>
      </c>
      <c r="O19" s="11">
        <f>IF(ISNUMBER(D19),D19+$E$8,D19)</f>
        <v/>
      </c>
    </row>
    <row r="20">
      <c r="A20" t="n">
        <v>8</v>
      </c>
      <c r="B20">
        <f>IF(A20&gt;$B$7,"-",IF($B$7=8,CHOOSE(A20,"A1","A2","B1","B2","C1","C2","D","E"),"R"&amp;A20))</f>
        <v/>
      </c>
      <c r="C20">
        <f>IF(A20&lt;=$B$7,1,0)</f>
        <v/>
      </c>
      <c r="D20" s="10">
        <f>IF(AND(C20=1,A20&lt;$B$7),$E$6+$B$6*($B$7-1-A20),IF(C20=1,"abierta","-"))</f>
        <v/>
      </c>
      <c r="E20" s="10">
        <f>IF(AND(C20=1,A20&gt;1),$E$6+$B$6*($B$7-A20),IF(C20=1,"abierta","-"))</f>
        <v/>
      </c>
      <c r="F20" s="11">
        <f>IF(ISNUMBER(D20),$B$5*2^((D20-$B$4)/$B$3),"-")</f>
        <v/>
      </c>
      <c r="G20" s="11">
        <f>IF(ISNUMBER(E20),$B$5*2^((E20-$B$4)/$B$3),"-")</f>
        <v/>
      </c>
      <c r="H20" s="12">
        <f>IF(ISNUMBER(F20),1/(1+F20),"-")</f>
        <v/>
      </c>
      <c r="I20" s="12">
        <f>IF(ISNUMBER(G20),1/(1+G20),"-")</f>
        <v/>
      </c>
      <c r="J20" s="11">
        <f>IF(AND(ISNUMBER(F20),ISNUMBER(G20)),SQRT(F20*G20),"-")</f>
        <v/>
      </c>
      <c r="K20" s="12">
        <f>IF(ISNUMBER(J20),1/(1+J20),"-")</f>
        <v/>
      </c>
      <c r="L20" s="12">
        <f>IF(ISNUMBER(J20),(LN(1+1/F20)-LN(1+1/G20))/LN(G20/F20),"-")</f>
        <v/>
      </c>
      <c r="M20" s="13">
        <f>IF(ISNUMBER(J20),L20/K20,"-")</f>
        <v/>
      </c>
      <c r="N20" s="14" t="n">
        <v>0.2675</v>
      </c>
      <c r="O20" s="11">
        <f>IF(ISNUMBER(D20),D20+$E$8,D20)</f>
        <v/>
      </c>
    </row>
    <row r="21">
      <c r="A21" t="n">
        <v>9</v>
      </c>
      <c r="B21">
        <f>IF(A21&gt;$B$7,"-",IF($B$7=8,CHOOSE(A21,"A1","A2","B1","B2","C1","C2","D","E"),"R"&amp;A21))</f>
        <v/>
      </c>
      <c r="C21">
        <f>IF(A21&lt;=$B$7,1,0)</f>
        <v/>
      </c>
      <c r="D21" s="10">
        <f>IF(AND(C21=1,A21&lt;$B$7),$E$6+$B$6*($B$7-1-A21),IF(C21=1,"abierta","-"))</f>
        <v/>
      </c>
      <c r="E21" s="10">
        <f>IF(AND(C21=1,A21&gt;1),$E$6+$B$6*($B$7-A21),IF(C21=1,"abierta","-"))</f>
        <v/>
      </c>
      <c r="F21" s="11">
        <f>IF(ISNUMBER(D21),$B$5*2^((D21-$B$4)/$B$3),"-")</f>
        <v/>
      </c>
      <c r="G21" s="11">
        <f>IF(ISNUMBER(E21),$B$5*2^((E21-$B$4)/$B$3),"-")</f>
        <v/>
      </c>
      <c r="H21" s="12">
        <f>IF(ISNUMBER(F21),1/(1+F21),"-")</f>
        <v/>
      </c>
      <c r="I21" s="12">
        <f>IF(ISNUMBER(G21),1/(1+G21),"-")</f>
        <v/>
      </c>
      <c r="J21" s="11">
        <f>IF(AND(ISNUMBER(F21),ISNUMBER(G21)),SQRT(F21*G21),"-")</f>
        <v/>
      </c>
      <c r="K21" s="12">
        <f>IF(ISNUMBER(J21),1/(1+J21),"-")</f>
        <v/>
      </c>
      <c r="L21" s="12">
        <f>IF(ISNUMBER(J21),(LN(1+1/F21)-LN(1+1/G21))/LN(G21/F21),"-")</f>
        <v/>
      </c>
      <c r="M21" s="13">
        <f>IF(ISNUMBER(J21),L21/K21,"-")</f>
        <v/>
      </c>
      <c r="N21" t="inlineStr">
        <is>
          <t>-</t>
        </is>
      </c>
      <c r="O21" s="11">
        <f>IF(ISNUMBER(D21),D21+$E$8,D21)</f>
        <v/>
      </c>
    </row>
    <row r="22">
      <c r="A22" t="n">
        <v>10</v>
      </c>
      <c r="B22">
        <f>IF(A22&gt;$B$7,"-",IF($B$7=8,CHOOSE(A22,"A1","A2","B1","B2","C1","C2","D","E"),"R"&amp;A22))</f>
        <v/>
      </c>
      <c r="C22">
        <f>IF(A22&lt;=$B$7,1,0)</f>
        <v/>
      </c>
      <c r="D22" s="10">
        <f>IF(AND(C22=1,A22&lt;$B$7),$E$6+$B$6*($B$7-1-A22),IF(C22=1,"abierta","-"))</f>
        <v/>
      </c>
      <c r="E22" s="10">
        <f>IF(AND(C22=1,A22&gt;1),$E$6+$B$6*($B$7-A22),IF(C22=1,"abierta","-"))</f>
        <v/>
      </c>
      <c r="F22" s="11">
        <f>IF(ISNUMBER(D22),$B$5*2^((D22-$B$4)/$B$3),"-")</f>
        <v/>
      </c>
      <c r="G22" s="11">
        <f>IF(ISNUMBER(E22),$B$5*2^((E22-$B$4)/$B$3),"-")</f>
        <v/>
      </c>
      <c r="H22" s="12">
        <f>IF(ISNUMBER(F22),1/(1+F22),"-")</f>
        <v/>
      </c>
      <c r="I22" s="12">
        <f>IF(ISNUMBER(G22),1/(1+G22),"-")</f>
        <v/>
      </c>
      <c r="J22" s="11">
        <f>IF(AND(ISNUMBER(F22),ISNUMBER(G22)),SQRT(F22*G22),"-")</f>
        <v/>
      </c>
      <c r="K22" s="12">
        <f>IF(ISNUMBER(J22),1/(1+J22),"-")</f>
        <v/>
      </c>
      <c r="L22" s="12">
        <f>IF(ISNUMBER(J22),(LN(1+1/F22)-LN(1+1/G22))/LN(G22/F22),"-")</f>
        <v/>
      </c>
      <c r="M22" s="13">
        <f>IF(ISNUMBER(J22),L22/K22,"-")</f>
        <v/>
      </c>
      <c r="N22" t="inlineStr">
        <is>
          <t>-</t>
        </is>
      </c>
      <c r="O22" s="11">
        <f>IF(ISNUMBER(D22),D22+$E$8,D22)</f>
        <v/>
      </c>
    </row>
    <row r="23">
      <c r="A23" t="n">
        <v>11</v>
      </c>
      <c r="B23">
        <f>IF(A23&gt;$B$7,"-",IF($B$7=8,CHOOSE(A23,"A1","A2","B1","B2","C1","C2","D","E"),"R"&amp;A23))</f>
        <v/>
      </c>
      <c r="C23">
        <f>IF(A23&lt;=$B$7,1,0)</f>
        <v/>
      </c>
      <c r="D23" s="10">
        <f>IF(AND(C23=1,A23&lt;$B$7),$E$6+$B$6*($B$7-1-A23),IF(C23=1,"abierta","-"))</f>
        <v/>
      </c>
      <c r="E23" s="10">
        <f>IF(AND(C23=1,A23&gt;1),$E$6+$B$6*($B$7-A23),IF(C23=1,"abierta","-"))</f>
        <v/>
      </c>
      <c r="F23" s="11">
        <f>IF(ISNUMBER(D23),$B$5*2^((D23-$B$4)/$B$3),"-")</f>
        <v/>
      </c>
      <c r="G23" s="11">
        <f>IF(ISNUMBER(E23),$B$5*2^((E23-$B$4)/$B$3),"-")</f>
        <v/>
      </c>
      <c r="H23" s="12">
        <f>IF(ISNUMBER(F23),1/(1+F23),"-")</f>
        <v/>
      </c>
      <c r="I23" s="12">
        <f>IF(ISNUMBER(G23),1/(1+G23),"-")</f>
        <v/>
      </c>
      <c r="J23" s="11">
        <f>IF(AND(ISNUMBER(F23),ISNUMBER(G23)),SQRT(F23*G23),"-")</f>
        <v/>
      </c>
      <c r="K23" s="12">
        <f>IF(ISNUMBER(J23),1/(1+J23),"-")</f>
        <v/>
      </c>
      <c r="L23" s="12">
        <f>IF(ISNUMBER(J23),(LN(1+1/F23)-LN(1+1/G23))/LN(G23/F23),"-")</f>
        <v/>
      </c>
      <c r="M23" s="13">
        <f>IF(ISNUMBER(J23),L23/K23,"-")</f>
        <v/>
      </c>
      <c r="N23" t="inlineStr">
        <is>
          <t>-</t>
        </is>
      </c>
      <c r="O23" s="11">
        <f>IF(ISNUMBER(D23),D23+$E$8,D23)</f>
        <v/>
      </c>
    </row>
    <row r="24">
      <c r="A24" t="n">
        <v>12</v>
      </c>
      <c r="B24">
        <f>IF(A24&gt;$B$7,"-",IF($B$7=8,CHOOSE(A24,"A1","A2","B1","B2","C1","C2","D","E"),"R"&amp;A24))</f>
        <v/>
      </c>
      <c r="C24">
        <f>IF(A24&lt;=$B$7,1,0)</f>
        <v/>
      </c>
      <c r="D24" s="10">
        <f>IF(AND(C24=1,A24&lt;$B$7),$E$6+$B$6*($B$7-1-A24),IF(C24=1,"abierta","-"))</f>
        <v/>
      </c>
      <c r="E24" s="10">
        <f>IF(AND(C24=1,A24&gt;1),$E$6+$B$6*($B$7-A24),IF(C24=1,"abierta","-"))</f>
        <v/>
      </c>
      <c r="F24" s="11">
        <f>IF(ISNUMBER(D24),$B$5*2^((D24-$B$4)/$B$3),"-")</f>
        <v/>
      </c>
      <c r="G24" s="11">
        <f>IF(ISNUMBER(E24),$B$5*2^((E24-$B$4)/$B$3),"-")</f>
        <v/>
      </c>
      <c r="H24" s="12">
        <f>IF(ISNUMBER(F24),1/(1+F24),"-")</f>
        <v/>
      </c>
      <c r="I24" s="12">
        <f>IF(ISNUMBER(G24),1/(1+G24),"-")</f>
        <v/>
      </c>
      <c r="J24" s="11">
        <f>IF(AND(ISNUMBER(F24),ISNUMBER(G24)),SQRT(F24*G24),"-")</f>
        <v/>
      </c>
      <c r="K24" s="12">
        <f>IF(ISNUMBER(J24),1/(1+J24),"-")</f>
        <v/>
      </c>
      <c r="L24" s="12">
        <f>IF(ISNUMBER(J24),(LN(1+1/F24)-LN(1+1/G24))/LN(G24/F24),"-")</f>
        <v/>
      </c>
      <c r="M24" s="13">
        <f>IF(ISNUMBER(J24),L24/K24,"-")</f>
        <v/>
      </c>
      <c r="N24" t="inlineStr">
        <is>
          <t>-</t>
        </is>
      </c>
      <c r="O24" s="11">
        <f>IF(ISNUMBER(D24),D24+$E$8,D24)</f>
        <v/>
      </c>
    </row>
    <row r="27">
      <c r="A27" s="1" t="inlineStr">
        <is>
          <t>Mapear el score de OTRO modelo a esta escala (por PD, nunca copiando cortes)</t>
        </is>
      </c>
    </row>
    <row r="28">
      <c r="A28" s="2" t="inlineStr">
        <is>
          <t>PDO del otro modelo</t>
        </is>
      </c>
      <c r="B28" s="3" t="n">
        <v>40</v>
      </c>
    </row>
    <row r="29">
      <c r="A29" s="2" t="inlineStr">
        <is>
          <t>Score ancla del otro modelo</t>
        </is>
      </c>
      <c r="B29" s="3" t="n">
        <v>500</v>
      </c>
    </row>
    <row r="30">
      <c r="A30" s="2" t="inlineStr">
        <is>
          <t>Odds ancla del otro modelo</t>
        </is>
      </c>
      <c r="B30" s="3" t="n">
        <v>20</v>
      </c>
    </row>
    <row r="31">
      <c r="A31" s="2" t="inlineStr">
        <is>
          <t>Score del cliente en el otro modelo</t>
        </is>
      </c>
      <c r="B31" s="3" t="n">
        <v>560</v>
      </c>
    </row>
    <row r="32">
      <c r="A32" s="2" t="inlineStr">
        <is>
          <t>ln(odds) implícito</t>
        </is>
      </c>
      <c r="B32" s="13">
        <f>LN(B30)+(B31-B29)*LN(2)/B28</f>
        <v/>
      </c>
    </row>
    <row r="33">
      <c r="A33" s="2" t="inlineStr">
        <is>
          <t>PD implícita</t>
        </is>
      </c>
      <c r="B33" s="12">
        <f>1/(1+EXP(B32))</f>
        <v/>
      </c>
    </row>
    <row r="34">
      <c r="A34" s="2" t="inlineStr">
        <is>
          <t>Score equivalente en la escala corporativa</t>
        </is>
      </c>
      <c r="B34" s="11">
        <f>$E$4+$E$3*B32</f>
        <v/>
      </c>
    </row>
    <row r="35">
      <c r="A35" s="2" t="inlineStr">
        <is>
          <t>Banda corporativa (i, 1 = mejor)</t>
        </is>
      </c>
      <c r="B35">
        <f>$B$7-COUNTIF($D$13:$D$24,"&lt;="&amp;B34)</f>
        <v/>
      </c>
    </row>
    <row r="36">
      <c r="A36" s="2" t="inlineStr">
        <is>
          <t>Nombre de la banda</t>
        </is>
      </c>
      <c r="B36">
        <f>INDEX($B$13:$B$24,B35)</f>
        <v/>
      </c>
    </row>
    <row r="37">
      <c r="A37" s="2" t="inlineStr">
        <is>
          <t>Banda si se copiaran los cortes (ERROR típico)</t>
        </is>
      </c>
      <c r="B37">
        <f>INDEX($B$13:$B$24,$B$7-COUNTIF($D$13:$D$24,"&lt;="&amp;B31))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Escala por PD objetivo: límites de PD en progresión geométrica</t>
        </is>
      </c>
    </row>
    <row r="3">
      <c r="A3" s="2" t="inlineStr">
        <is>
          <t>PD mínima (límite de la mejor banda)</t>
        </is>
      </c>
      <c r="B3" s="15" t="n">
        <v>0.0005</v>
      </c>
      <c r="D3" s="2" t="inlineStr">
        <is>
          <t>Razón entre límites consecutivos r</t>
        </is>
      </c>
      <c r="E3" s="13">
        <f>(B4/B3)^(1/(B5-2))</f>
        <v/>
      </c>
    </row>
    <row r="4">
      <c r="A4" s="2" t="inlineStr">
        <is>
          <t>PD máxima (límite de la peor banda)</t>
        </is>
      </c>
      <c r="B4" s="16" t="n">
        <v>0.3</v>
      </c>
      <c r="D4" s="2" t="inlineStr">
        <is>
          <t>factor / offset (de Escala_PDO)</t>
        </is>
      </c>
      <c r="E4" s="13">
        <f>Escala_PDO!E3</f>
        <v/>
      </c>
      <c r="F4" s="13">
        <f>Escala_PDO!E4</f>
        <v/>
      </c>
    </row>
    <row r="5">
      <c r="A5" s="2" t="inlineStr">
        <is>
          <t>Número de bandas K (3–12)</t>
        </is>
      </c>
      <c r="B5" s="17" t="n">
        <v>8</v>
      </c>
    </row>
    <row r="7" ht="45" customHeight="1">
      <c r="A7" s="9" t="inlineStr">
        <is>
          <t>j (límite, de peor a mejor)</t>
        </is>
      </c>
      <c r="B7" s="9" t="inlineStr">
        <is>
          <t>Activo</t>
        </is>
      </c>
      <c r="C7" s="9" t="inlineStr">
        <is>
          <t>PD en el límite</t>
        </is>
      </c>
      <c r="D7" s="9" t="inlineStr">
        <is>
          <t>Odds en el límite</t>
        </is>
      </c>
      <c r="E7" s="9" t="inlineStr">
        <is>
          <t>Score equivalente</t>
        </is>
      </c>
      <c r="F7" s="9" t="inlineStr">
        <is>
          <t>Ancho en puntos vs límite anterior</t>
        </is>
      </c>
      <c r="G7" s="9" t="inlineStr">
        <is>
          <t>Duplicaciones de odds vs límite anterior</t>
        </is>
      </c>
    </row>
    <row r="8">
      <c r="A8" t="n">
        <v>1</v>
      </c>
      <c r="B8">
        <f>IF(A8&lt;=$B$5-1,1,0)</f>
        <v/>
      </c>
      <c r="C8" s="12">
        <f>IF(B8=1,$B$4/$E$3^(A8-1),"-")</f>
        <v/>
      </c>
      <c r="D8" s="11">
        <f>IF(B8=1,(1-C8)/C8,"-")</f>
        <v/>
      </c>
      <c r="E8" s="10">
        <f>IF(B8=1,$F$4+$E$4*LN(D8),"-")</f>
        <v/>
      </c>
      <c r="F8" t="inlineStr">
        <is>
          <t>-</t>
        </is>
      </c>
      <c r="G8" t="inlineStr">
        <is>
          <t>-</t>
        </is>
      </c>
    </row>
    <row r="9">
      <c r="A9" t="n">
        <v>2</v>
      </c>
      <c r="B9">
        <f>IF(A9&lt;=$B$5-1,1,0)</f>
        <v/>
      </c>
      <c r="C9" s="12">
        <f>IF(B9=1,$B$4/$E$3^(A9-1),"-")</f>
        <v/>
      </c>
      <c r="D9" s="11">
        <f>IF(B9=1,(1-C9)/C9,"-")</f>
        <v/>
      </c>
      <c r="E9" s="10">
        <f>IF(B9=1,$F$4+$E$4*LN(D9),"-")</f>
        <v/>
      </c>
      <c r="F9" s="10">
        <f>IF(B9=1,E9-E8,"-")</f>
        <v/>
      </c>
      <c r="G9" s="11">
        <f>IF(B9=1,LN(D9/D8)/LN(2),"-")</f>
        <v/>
      </c>
    </row>
    <row r="10">
      <c r="A10" t="n">
        <v>3</v>
      </c>
      <c r="B10">
        <f>IF(A10&lt;=$B$5-1,1,0)</f>
        <v/>
      </c>
      <c r="C10" s="12">
        <f>IF(B10=1,$B$4/$E$3^(A10-1),"-")</f>
        <v/>
      </c>
      <c r="D10" s="11">
        <f>IF(B10=1,(1-C10)/C10,"-")</f>
        <v/>
      </c>
      <c r="E10" s="10">
        <f>IF(B10=1,$F$4+$E$4*LN(D10),"-")</f>
        <v/>
      </c>
      <c r="F10" s="10">
        <f>IF(B10=1,E10-E9,"-")</f>
        <v/>
      </c>
      <c r="G10" s="11">
        <f>IF(B10=1,LN(D10/D9)/LN(2),"-")</f>
        <v/>
      </c>
    </row>
    <row r="11">
      <c r="A11" t="n">
        <v>4</v>
      </c>
      <c r="B11">
        <f>IF(A11&lt;=$B$5-1,1,0)</f>
        <v/>
      </c>
      <c r="C11" s="12">
        <f>IF(B11=1,$B$4/$E$3^(A11-1),"-")</f>
        <v/>
      </c>
      <c r="D11" s="11">
        <f>IF(B11=1,(1-C11)/C11,"-")</f>
        <v/>
      </c>
      <c r="E11" s="10">
        <f>IF(B11=1,$F$4+$E$4*LN(D11),"-")</f>
        <v/>
      </c>
      <c r="F11" s="10">
        <f>IF(B11=1,E11-E10,"-")</f>
        <v/>
      </c>
      <c r="G11" s="11">
        <f>IF(B11=1,LN(D11/D10)/LN(2),"-")</f>
        <v/>
      </c>
    </row>
    <row r="12">
      <c r="A12" t="n">
        <v>5</v>
      </c>
      <c r="B12">
        <f>IF(A12&lt;=$B$5-1,1,0)</f>
        <v/>
      </c>
      <c r="C12" s="12">
        <f>IF(B12=1,$B$4/$E$3^(A12-1),"-")</f>
        <v/>
      </c>
      <c r="D12" s="11">
        <f>IF(B12=1,(1-C12)/C12,"-")</f>
        <v/>
      </c>
      <c r="E12" s="10">
        <f>IF(B12=1,$F$4+$E$4*LN(D12),"-")</f>
        <v/>
      </c>
      <c r="F12" s="10">
        <f>IF(B12=1,E12-E11,"-")</f>
        <v/>
      </c>
      <c r="G12" s="11">
        <f>IF(B12=1,LN(D12/D11)/LN(2),"-")</f>
        <v/>
      </c>
    </row>
    <row r="13">
      <c r="A13" t="n">
        <v>6</v>
      </c>
      <c r="B13">
        <f>IF(A13&lt;=$B$5-1,1,0)</f>
        <v/>
      </c>
      <c r="C13" s="12">
        <f>IF(B13=1,$B$4/$E$3^(A13-1),"-")</f>
        <v/>
      </c>
      <c r="D13" s="11">
        <f>IF(B13=1,(1-C13)/C13,"-")</f>
        <v/>
      </c>
      <c r="E13" s="10">
        <f>IF(B13=1,$F$4+$E$4*LN(D13),"-")</f>
        <v/>
      </c>
      <c r="F13" s="10">
        <f>IF(B13=1,E13-E12,"-")</f>
        <v/>
      </c>
      <c r="G13" s="11">
        <f>IF(B13=1,LN(D13/D12)/LN(2),"-")</f>
        <v/>
      </c>
    </row>
    <row r="14">
      <c r="A14" t="n">
        <v>7</v>
      </c>
      <c r="B14">
        <f>IF(A14&lt;=$B$5-1,1,0)</f>
        <v/>
      </c>
      <c r="C14" s="12">
        <f>IF(B14=1,$B$4/$E$3^(A14-1),"-")</f>
        <v/>
      </c>
      <c r="D14" s="11">
        <f>IF(B14=1,(1-C14)/C14,"-")</f>
        <v/>
      </c>
      <c r="E14" s="10">
        <f>IF(B14=1,$F$4+$E$4*LN(D14),"-")</f>
        <v/>
      </c>
      <c r="F14" s="10">
        <f>IF(B14=1,E14-E13,"-")</f>
        <v/>
      </c>
      <c r="G14" s="11">
        <f>IF(B14=1,LN(D14/D13)/LN(2),"-")</f>
        <v/>
      </c>
    </row>
    <row r="15">
      <c r="A15" t="n">
        <v>8</v>
      </c>
      <c r="B15">
        <f>IF(A15&lt;=$B$5-1,1,0)</f>
        <v/>
      </c>
      <c r="C15" s="12">
        <f>IF(B15=1,$B$4/$E$3^(A15-1),"-")</f>
        <v/>
      </c>
      <c r="D15" s="11">
        <f>IF(B15=1,(1-C15)/C15,"-")</f>
        <v/>
      </c>
      <c r="E15" s="10">
        <f>IF(B15=1,$F$4+$E$4*LN(D15),"-")</f>
        <v/>
      </c>
      <c r="F15" s="10">
        <f>IF(B15=1,E15-E14,"-")</f>
        <v/>
      </c>
      <c r="G15" s="11">
        <f>IF(B15=1,LN(D15/D14)/LN(2),"-")</f>
        <v/>
      </c>
    </row>
    <row r="16">
      <c r="A16" t="n">
        <v>9</v>
      </c>
      <c r="B16">
        <f>IF(A16&lt;=$B$5-1,1,0)</f>
        <v/>
      </c>
      <c r="C16" s="12">
        <f>IF(B16=1,$B$4/$E$3^(A16-1),"-")</f>
        <v/>
      </c>
      <c r="D16" s="11">
        <f>IF(B16=1,(1-C16)/C16,"-")</f>
        <v/>
      </c>
      <c r="E16" s="10">
        <f>IF(B16=1,$F$4+$E$4*LN(D16),"-")</f>
        <v/>
      </c>
      <c r="F16" s="10">
        <f>IF(B16=1,E16-E15,"-")</f>
        <v/>
      </c>
      <c r="G16" s="11">
        <f>IF(B16=1,LN(D16/D15)/LN(2),"-")</f>
        <v/>
      </c>
    </row>
    <row r="17">
      <c r="A17" t="n">
        <v>10</v>
      </c>
      <c r="B17">
        <f>IF(A17&lt;=$B$5-1,1,0)</f>
        <v/>
      </c>
      <c r="C17" s="12">
        <f>IF(B17=1,$B$4/$E$3^(A17-1),"-")</f>
        <v/>
      </c>
      <c r="D17" s="11">
        <f>IF(B17=1,(1-C17)/C17,"-")</f>
        <v/>
      </c>
      <c r="E17" s="10">
        <f>IF(B17=1,$F$4+$E$4*LN(D17),"-")</f>
        <v/>
      </c>
      <c r="F17" s="10">
        <f>IF(B17=1,E17-E16,"-")</f>
        <v/>
      </c>
      <c r="G17" s="11">
        <f>IF(B17=1,LN(D17/D16)/LN(2),"-")</f>
        <v/>
      </c>
    </row>
    <row r="18">
      <c r="A18" t="n">
        <v>11</v>
      </c>
      <c r="B18">
        <f>IF(A18&lt;=$B$5-1,1,0)</f>
        <v/>
      </c>
      <c r="C18" s="12">
        <f>IF(B18=1,$B$4/$E$3^(A18-1),"-")</f>
        <v/>
      </c>
      <c r="D18" s="11">
        <f>IF(B18=1,(1-C18)/C18,"-")</f>
        <v/>
      </c>
      <c r="E18" s="10">
        <f>IF(B18=1,$F$4+$E$4*LN(D18),"-")</f>
        <v/>
      </c>
      <c r="F18" s="10">
        <f>IF(B18=1,E18-E17,"-")</f>
        <v/>
      </c>
      <c r="G18" s="11">
        <f>IF(B18=1,LN(D18/D17)/LN(2),"-")</f>
        <v/>
      </c>
    </row>
    <row r="20">
      <c r="A20" t="inlineStr">
        <is>
          <t>Lectura: el ancho en PD es constante (razón r), pero en odds NO: con PD altas la banda se ENSANCHA en puntos (Δ ln odds = ln r + ln((1−p/r)/(1−p)) &gt; ln r). Con PD bajas ambas escalas coinciden (odds ≈ 1/PD).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Validación de la escala: pegue n, malos y PD asignada por banda (orden MEJOR → PEOR)</t>
        </is>
      </c>
    </row>
    <row r="3">
      <c r="A3" s="2" t="inlineStr">
        <is>
          <t>α separabilidad (unilateral)</t>
        </is>
      </c>
      <c r="B3" s="18" t="n">
        <v>0.05</v>
      </c>
      <c r="D3" s="2" t="inlineStr">
        <is>
          <t>Malos esperados requeridos λ (aprox. normal)</t>
        </is>
      </c>
      <c r="E3" s="11">
        <f>((_xlfn.NORM.S.INV(1-B4)+_xlfn.NORM.S.INV(B5)*SQRT(B6))/(B6-1))^2</f>
        <v/>
      </c>
    </row>
    <row r="4">
      <c r="A4" s="2" t="inlineStr">
        <is>
          <t>α backtest binomial (unilateral)</t>
        </is>
      </c>
      <c r="B4" s="18" t="n">
        <v>0.05</v>
      </c>
    </row>
    <row r="5">
      <c r="A5" s="2" t="inlineStr">
        <is>
          <t>Potencia deseada del backtest</t>
        </is>
      </c>
      <c r="B5" s="18" t="n">
        <v>0.8</v>
      </c>
    </row>
    <row r="6">
      <c r="A6" s="2" t="inlineStr">
        <is>
          <t>Factor m de subestimación a detectar</t>
        </is>
      </c>
      <c r="B6" s="18" t="n">
        <v>2</v>
      </c>
    </row>
    <row r="7">
      <c r="A7" s="2" t="inlineStr">
        <is>
          <t>% máximo de población por banda (convención)</t>
        </is>
      </c>
      <c r="B7" s="16" t="n">
        <v>0.25</v>
      </c>
    </row>
    <row r="10" ht="45" customHeight="1">
      <c r="A10" s="9" t="inlineStr">
        <is>
          <t>Banda</t>
        </is>
      </c>
      <c r="B10" s="9" t="inlineStr">
        <is>
          <t>n</t>
        </is>
      </c>
      <c r="C10" s="9" t="inlineStr">
        <is>
          <t>Malos</t>
        </is>
      </c>
      <c r="D10" s="9" t="inlineStr">
        <is>
          <t>PD asignada</t>
        </is>
      </c>
      <c r="E10" s="9" t="inlineStr">
        <is>
          <t>Tasa observada</t>
        </is>
      </c>
      <c r="F10" s="9" t="inlineStr">
        <is>
          <t>% población</t>
        </is>
      </c>
      <c r="G10" s="9" t="inlineStr">
        <is>
          <t>Cuota²</t>
        </is>
      </c>
      <c r="H10" s="9" t="inlineStr">
        <is>
          <t>Malos esperados</t>
        </is>
      </c>
      <c r="I10" s="9" t="inlineStr">
        <is>
          <t>p binomial (cola sup.)</t>
        </is>
      </c>
      <c r="J10" s="9" t="inlineStr">
        <is>
          <t>p Jeffreys (BCE)</t>
        </is>
      </c>
      <c r="K10" s="9" t="inlineStr">
        <is>
          <t>Jeffreys 90% inf.</t>
        </is>
      </c>
      <c r="L10" s="9" t="inlineStr">
        <is>
          <t>Jeffreys 90% sup.</t>
        </is>
      </c>
      <c r="M10" s="9" t="inlineStr">
        <is>
          <t>¿Monótona vs siguiente?</t>
        </is>
      </c>
      <c r="N10" s="9" t="inlineStr">
        <is>
          <t>z vs siguiente (peor)</t>
        </is>
      </c>
      <c r="O10" s="9" t="inlineStr">
        <is>
          <t>p unilateral</t>
        </is>
      </c>
      <c r="P10" s="9" t="inlineStr">
        <is>
          <t>¿Separable?</t>
        </is>
      </c>
      <c r="Q10" s="9" t="inlineStr">
        <is>
          <t>¿Potencia suficiente?</t>
        </is>
      </c>
      <c r="R10" s="9" t="inlineStr">
        <is>
          <t>n mínimo para potencia</t>
        </is>
      </c>
      <c r="S10" s="9" t="inlineStr">
        <is>
          <t>¿Concentrada?</t>
        </is>
      </c>
    </row>
    <row r="11">
      <c r="A11" s="3" t="inlineStr">
        <is>
          <t>A1</t>
        </is>
      </c>
      <c r="B11" s="3" t="n">
        <v>1446</v>
      </c>
      <c r="C11" s="3" t="n">
        <v>2</v>
      </c>
      <c r="D11" s="16" t="n">
        <v>0.0011</v>
      </c>
      <c r="E11" s="14">
        <f>IF(B11&gt;0,C11/B11,"-")</f>
        <v/>
      </c>
      <c r="F11" s="14">
        <f>IF(B11&gt;0,B11/SUM($B$11:$B$22),0)</f>
        <v/>
      </c>
      <c r="G11" s="13">
        <f>F11^2</f>
        <v/>
      </c>
      <c r="H11" s="11">
        <f>IF(B11&gt;0,B11*D11,"-")</f>
        <v/>
      </c>
      <c r="I11" s="13">
        <f>IF(B11&gt;0,IF(C11=0,1,1-_xlfn.BINOM.DIST(C11-1,B11,D11,TRUE)),"-")</f>
        <v/>
      </c>
      <c r="J11" s="13">
        <f>IF(B11&gt;0,_xlfn.BETA.DIST(D11,C11+0.5,B11-C11+0.5,TRUE),"-")</f>
        <v/>
      </c>
      <c r="K11" s="14">
        <f>IF(B11&gt;0,_xlfn.BETA.INV(0.05,C11+0.5,B11-C11+0.5),"-")</f>
        <v/>
      </c>
      <c r="L11" s="14">
        <f>IF(B11&gt;0,_xlfn.BETA.INV(0.95,C11+0.5,B11-C11+0.5),"-")</f>
        <v/>
      </c>
      <c r="M11">
        <f>IF(AND(B11&gt;0,B12&gt;0),IF(E12&gt;E11,"OK","INVERSIÓN"),"-")</f>
        <v/>
      </c>
      <c r="N11" s="13">
        <f>IF(AND(B11&gt;0,B12&gt;0),IF(((C11+C12)/(B11+B12))*(1-((C11+C12)/(B11+B12)))&gt;0,(E12-E11)/SQRT(((C11+C12)/(B11+B12))*(1-((C11+C12)/(B11+B12)))*(1/B11+1/B12)),0),"-")</f>
        <v/>
      </c>
      <c r="O11" s="13">
        <f>IF(AND(B11&gt;0,B12&gt;0),1-_xlfn.NORM.S.DIST(N11,TRUE),"-")</f>
        <v/>
      </c>
      <c r="P11">
        <f>IF(AND(B11&gt;0,B12&gt;0),IF(O11&lt;$B$3,"sí","no"),"-")</f>
        <v/>
      </c>
      <c r="Q11">
        <f>IF(B11&gt;0,IF(H11&gt;=$E$3,"sí","no"),"-")</f>
        <v/>
      </c>
      <c r="R11" s="19">
        <f>IF(AND(B11&gt;0,D11&gt;0),ROUNDUP($E$3/D11,0),"-")</f>
        <v/>
      </c>
      <c r="S11">
        <f>IF(B11&gt;0,IF(F11&gt;$B$7,"sí","no"),"-")</f>
        <v/>
      </c>
    </row>
    <row r="12">
      <c r="A12" s="3" t="inlineStr">
        <is>
          <t>A2</t>
        </is>
      </c>
      <c r="B12" s="3" t="n">
        <v>655</v>
      </c>
      <c r="C12" s="3" t="n">
        <v>4</v>
      </c>
      <c r="D12" s="16" t="n">
        <v>0.0036</v>
      </c>
      <c r="E12" s="14">
        <f>IF(B12&gt;0,C12/B12,"-")</f>
        <v/>
      </c>
      <c r="F12" s="14">
        <f>IF(B12&gt;0,B12/SUM($B$11:$B$22),0)</f>
        <v/>
      </c>
      <c r="G12" s="13">
        <f>F12^2</f>
        <v/>
      </c>
      <c r="H12" s="11">
        <f>IF(B12&gt;0,B12*D12,"-")</f>
        <v/>
      </c>
      <c r="I12" s="13">
        <f>IF(B12&gt;0,IF(C12=0,1,1-_xlfn.BINOM.DIST(C12-1,B12,D12,TRUE)),"-")</f>
        <v/>
      </c>
      <c r="J12" s="13">
        <f>IF(B12&gt;0,_xlfn.BETA.DIST(D12,C12+0.5,B12-C12+0.5,TRUE),"-")</f>
        <v/>
      </c>
      <c r="K12" s="14">
        <f>IF(B12&gt;0,_xlfn.BETA.INV(0.05,C12+0.5,B12-C12+0.5),"-")</f>
        <v/>
      </c>
      <c r="L12" s="14">
        <f>IF(B12&gt;0,_xlfn.BETA.INV(0.95,C12+0.5,B12-C12+0.5),"-")</f>
        <v/>
      </c>
      <c r="M12">
        <f>IF(AND(B12&gt;0,B13&gt;0),IF(E13&gt;E12,"OK","INVERSIÓN"),"-")</f>
        <v/>
      </c>
      <c r="N12" s="13">
        <f>IF(AND(B12&gt;0,B13&gt;0),IF(((C12+C13)/(B12+B13))*(1-((C12+C13)/(B12+B13)))&gt;0,(E13-E12)/SQRT(((C12+C13)/(B12+B13))*(1-((C12+C13)/(B12+B13)))*(1/B12+1/B13)),0),"-")</f>
        <v/>
      </c>
      <c r="O12" s="13">
        <f>IF(AND(B12&gt;0,B13&gt;0),1-_xlfn.NORM.S.DIST(N12,TRUE),"-")</f>
        <v/>
      </c>
      <c r="P12">
        <f>IF(AND(B12&gt;0,B13&gt;0),IF(O12&lt;$B$3,"sí","no"),"-")</f>
        <v/>
      </c>
      <c r="Q12">
        <f>IF(B12&gt;0,IF(H12&gt;=$E$3,"sí","no"),"-")</f>
        <v/>
      </c>
      <c r="R12" s="19">
        <f>IF(AND(B12&gt;0,D12&gt;0),ROUNDUP($E$3/D12,0),"-")</f>
        <v/>
      </c>
      <c r="S12">
        <f>IF(B12&gt;0,IF(F12&gt;$B$7,"sí","no"),"-")</f>
        <v/>
      </c>
    </row>
    <row r="13">
      <c r="A13" s="3" t="inlineStr">
        <is>
          <t>B1</t>
        </is>
      </c>
      <c r="B13" s="3" t="n">
        <v>774</v>
      </c>
      <c r="C13" s="3" t="n">
        <v>8</v>
      </c>
      <c r="D13" s="16" t="n">
        <v>0.0072</v>
      </c>
      <c r="E13" s="14">
        <f>IF(B13&gt;0,C13/B13,"-")</f>
        <v/>
      </c>
      <c r="F13" s="14">
        <f>IF(B13&gt;0,B13/SUM($B$11:$B$22),0)</f>
        <v/>
      </c>
      <c r="G13" s="13">
        <f>F13^2</f>
        <v/>
      </c>
      <c r="H13" s="11">
        <f>IF(B13&gt;0,B13*D13,"-")</f>
        <v/>
      </c>
      <c r="I13" s="13">
        <f>IF(B13&gt;0,IF(C13=0,1,1-_xlfn.BINOM.DIST(C13-1,B13,D13,TRUE)),"-")</f>
        <v/>
      </c>
      <c r="J13" s="13">
        <f>IF(B13&gt;0,_xlfn.BETA.DIST(D13,C13+0.5,B13-C13+0.5,TRUE),"-")</f>
        <v/>
      </c>
      <c r="K13" s="14">
        <f>IF(B13&gt;0,_xlfn.BETA.INV(0.05,C13+0.5,B13-C13+0.5),"-")</f>
        <v/>
      </c>
      <c r="L13" s="14">
        <f>IF(B13&gt;0,_xlfn.BETA.INV(0.95,C13+0.5,B13-C13+0.5),"-")</f>
        <v/>
      </c>
      <c r="M13">
        <f>IF(AND(B13&gt;0,B14&gt;0),IF(E14&gt;E13,"OK","INVERSIÓN"),"-")</f>
        <v/>
      </c>
      <c r="N13" s="13">
        <f>IF(AND(B13&gt;0,B14&gt;0),IF(((C13+C14)/(B13+B14))*(1-((C13+C14)/(B13+B14)))&gt;0,(E14-E13)/SQRT(((C13+C14)/(B13+B14))*(1-((C13+C14)/(B13+B14)))*(1/B13+1/B14)),0),"-")</f>
        <v/>
      </c>
      <c r="O13" s="13">
        <f>IF(AND(B13&gt;0,B14&gt;0),1-_xlfn.NORM.S.DIST(N13,TRUE),"-")</f>
        <v/>
      </c>
      <c r="P13">
        <f>IF(AND(B13&gt;0,B14&gt;0),IF(O13&lt;$B$3,"sí","no"),"-")</f>
        <v/>
      </c>
      <c r="Q13">
        <f>IF(B13&gt;0,IF(H13&gt;=$E$3,"sí","no"),"-")</f>
        <v/>
      </c>
      <c r="R13" s="19">
        <f>IF(AND(B13&gt;0,D13&gt;0),ROUNDUP($E$3/D13,0),"-")</f>
        <v/>
      </c>
      <c r="S13">
        <f>IF(B13&gt;0,IF(F13&gt;$B$7,"sí","no"),"-")</f>
        <v/>
      </c>
    </row>
    <row r="14">
      <c r="A14" s="3" t="inlineStr">
        <is>
          <t>B2</t>
        </is>
      </c>
      <c r="B14" s="3" t="n">
        <v>829</v>
      </c>
      <c r="C14" s="3" t="n">
        <v>17</v>
      </c>
      <c r="D14" s="16" t="n">
        <v>0.0141</v>
      </c>
      <c r="E14" s="14">
        <f>IF(B14&gt;0,C14/B14,"-")</f>
        <v/>
      </c>
      <c r="F14" s="14">
        <f>IF(B14&gt;0,B14/SUM($B$11:$B$22),0)</f>
        <v/>
      </c>
      <c r="G14" s="13">
        <f>F14^2</f>
        <v/>
      </c>
      <c r="H14" s="11">
        <f>IF(B14&gt;0,B14*D14,"-")</f>
        <v/>
      </c>
      <c r="I14" s="13">
        <f>IF(B14&gt;0,IF(C14=0,1,1-_xlfn.BINOM.DIST(C14-1,B14,D14,TRUE)),"-")</f>
        <v/>
      </c>
      <c r="J14" s="13">
        <f>IF(B14&gt;0,_xlfn.BETA.DIST(D14,C14+0.5,B14-C14+0.5,TRUE),"-")</f>
        <v/>
      </c>
      <c r="K14" s="14">
        <f>IF(B14&gt;0,_xlfn.BETA.INV(0.05,C14+0.5,B14-C14+0.5),"-")</f>
        <v/>
      </c>
      <c r="L14" s="14">
        <f>IF(B14&gt;0,_xlfn.BETA.INV(0.95,C14+0.5,B14-C14+0.5),"-")</f>
        <v/>
      </c>
      <c r="M14">
        <f>IF(AND(B14&gt;0,B15&gt;0),IF(E15&gt;E14,"OK","INVERSIÓN"),"-")</f>
        <v/>
      </c>
      <c r="N14" s="13">
        <f>IF(AND(B14&gt;0,B15&gt;0),IF(((C14+C15)/(B14+B15))*(1-((C14+C15)/(B14+B15)))&gt;0,(E15-E14)/SQRT(((C14+C15)/(B14+B15))*(1-((C14+C15)/(B14+B15)))*(1/B14+1/B15)),0),"-")</f>
        <v/>
      </c>
      <c r="O14" s="13">
        <f>IF(AND(B14&gt;0,B15&gt;0),1-_xlfn.NORM.S.DIST(N14,TRUE),"-")</f>
        <v/>
      </c>
      <c r="P14">
        <f>IF(AND(B14&gt;0,B15&gt;0),IF(O14&lt;$B$3,"sí","no"),"-")</f>
        <v/>
      </c>
      <c r="Q14">
        <f>IF(B14&gt;0,IF(H14&gt;=$E$3,"sí","no"),"-")</f>
        <v/>
      </c>
      <c r="R14" s="19">
        <f>IF(AND(B14&gt;0,D14&gt;0),ROUNDUP($E$3/D14,0),"-")</f>
        <v/>
      </c>
      <c r="S14">
        <f>IF(B14&gt;0,IF(F14&gt;$B$7,"sí","no"),"-")</f>
        <v/>
      </c>
    </row>
    <row r="15">
      <c r="A15" s="3" t="inlineStr">
        <is>
          <t>C1</t>
        </is>
      </c>
      <c r="B15" s="3" t="n">
        <v>810</v>
      </c>
      <c r="C15" s="3" t="n">
        <v>30</v>
      </c>
      <c r="D15" s="16" t="n">
        <v>0.0279</v>
      </c>
      <c r="E15" s="14">
        <f>IF(B15&gt;0,C15/B15,"-")</f>
        <v/>
      </c>
      <c r="F15" s="14">
        <f>IF(B15&gt;0,B15/SUM($B$11:$B$22),0)</f>
        <v/>
      </c>
      <c r="G15" s="13">
        <f>F15^2</f>
        <v/>
      </c>
      <c r="H15" s="11">
        <f>IF(B15&gt;0,B15*D15,"-")</f>
        <v/>
      </c>
      <c r="I15" s="13">
        <f>IF(B15&gt;0,IF(C15=0,1,1-_xlfn.BINOM.DIST(C15-1,B15,D15,TRUE)),"-")</f>
        <v/>
      </c>
      <c r="J15" s="13">
        <f>IF(B15&gt;0,_xlfn.BETA.DIST(D15,C15+0.5,B15-C15+0.5,TRUE),"-")</f>
        <v/>
      </c>
      <c r="K15" s="14">
        <f>IF(B15&gt;0,_xlfn.BETA.INV(0.05,C15+0.5,B15-C15+0.5),"-")</f>
        <v/>
      </c>
      <c r="L15" s="14">
        <f>IF(B15&gt;0,_xlfn.BETA.INV(0.95,C15+0.5,B15-C15+0.5),"-")</f>
        <v/>
      </c>
      <c r="M15">
        <f>IF(AND(B15&gt;0,B16&gt;0),IF(E16&gt;E15,"OK","INVERSIÓN"),"-")</f>
        <v/>
      </c>
      <c r="N15" s="13">
        <f>IF(AND(B15&gt;0,B16&gt;0),IF(((C15+C16)/(B15+B16))*(1-((C15+C16)/(B15+B16)))&gt;0,(E16-E15)/SQRT(((C15+C16)/(B15+B16))*(1-((C15+C16)/(B15+B16)))*(1/B15+1/B16)),0),"-")</f>
        <v/>
      </c>
      <c r="O15" s="13">
        <f>IF(AND(B15&gt;0,B16&gt;0),1-_xlfn.NORM.S.DIST(N15,TRUE),"-")</f>
        <v/>
      </c>
      <c r="P15">
        <f>IF(AND(B15&gt;0,B16&gt;0),IF(O15&lt;$B$3,"sí","no"),"-")</f>
        <v/>
      </c>
      <c r="Q15">
        <f>IF(B15&gt;0,IF(H15&gt;=$E$3,"sí","no"),"-")</f>
        <v/>
      </c>
      <c r="R15" s="19">
        <f>IF(AND(B15&gt;0,D15&gt;0),ROUNDUP($E$3/D15,0),"-")</f>
        <v/>
      </c>
      <c r="S15">
        <f>IF(B15&gt;0,IF(F15&gt;$B$7,"sí","no"),"-")</f>
        <v/>
      </c>
    </row>
    <row r="16">
      <c r="A16" s="3" t="inlineStr">
        <is>
          <t>C2</t>
        </is>
      </c>
      <c r="B16" s="3" t="n">
        <v>744</v>
      </c>
      <c r="C16" s="3" t="n">
        <v>33</v>
      </c>
      <c r="D16" s="16" t="n">
        <v>0.0543</v>
      </c>
      <c r="E16" s="14">
        <f>IF(B16&gt;0,C16/B16,"-")</f>
        <v/>
      </c>
      <c r="F16" s="14">
        <f>IF(B16&gt;0,B16/SUM($B$11:$B$22),0)</f>
        <v/>
      </c>
      <c r="G16" s="13">
        <f>F16^2</f>
        <v/>
      </c>
      <c r="H16" s="11">
        <f>IF(B16&gt;0,B16*D16,"-")</f>
        <v/>
      </c>
      <c r="I16" s="13">
        <f>IF(B16&gt;0,IF(C16=0,1,1-_xlfn.BINOM.DIST(C16-1,B16,D16,TRUE)),"-")</f>
        <v/>
      </c>
      <c r="J16" s="13">
        <f>IF(B16&gt;0,_xlfn.BETA.DIST(D16,C16+0.5,B16-C16+0.5,TRUE),"-")</f>
        <v/>
      </c>
      <c r="K16" s="14">
        <f>IF(B16&gt;0,_xlfn.BETA.INV(0.05,C16+0.5,B16-C16+0.5),"-")</f>
        <v/>
      </c>
      <c r="L16" s="14">
        <f>IF(B16&gt;0,_xlfn.BETA.INV(0.95,C16+0.5,B16-C16+0.5),"-")</f>
        <v/>
      </c>
      <c r="M16">
        <f>IF(AND(B16&gt;0,B17&gt;0),IF(E17&gt;E16,"OK","INVERSIÓN"),"-")</f>
        <v/>
      </c>
      <c r="N16" s="13">
        <f>IF(AND(B16&gt;0,B17&gt;0),IF(((C16+C17)/(B16+B17))*(1-((C16+C17)/(B16+B17)))&gt;0,(E17-E16)/SQRT(((C16+C17)/(B16+B17))*(1-((C16+C17)/(B16+B17)))*(1/B16+1/B17)),0),"-")</f>
        <v/>
      </c>
      <c r="O16" s="13">
        <f>IF(AND(B16&gt;0,B17&gt;0),1-_xlfn.NORM.S.DIST(N16,TRUE),"-")</f>
        <v/>
      </c>
      <c r="P16">
        <f>IF(AND(B16&gt;0,B17&gt;0),IF(O16&lt;$B$3,"sí","no"),"-")</f>
        <v/>
      </c>
      <c r="Q16">
        <f>IF(B16&gt;0,IF(H16&gt;=$E$3,"sí","no"),"-")</f>
        <v/>
      </c>
      <c r="R16" s="19">
        <f>IF(AND(B16&gt;0,D16&gt;0),ROUNDUP($E$3/D16,0),"-")</f>
        <v/>
      </c>
      <c r="S16">
        <f>IF(B16&gt;0,IF(F16&gt;$B$7,"sí","no"),"-")</f>
        <v/>
      </c>
    </row>
    <row r="17">
      <c r="A17" s="3" t="inlineStr">
        <is>
          <t>D</t>
        </is>
      </c>
      <c r="B17" s="3" t="n">
        <v>628</v>
      </c>
      <c r="C17" s="3" t="n">
        <v>60</v>
      </c>
      <c r="D17" s="16" t="n">
        <v>0.1016</v>
      </c>
      <c r="E17" s="14">
        <f>IF(B17&gt;0,C17/B17,"-")</f>
        <v/>
      </c>
      <c r="F17" s="14">
        <f>IF(B17&gt;0,B17/SUM($B$11:$B$22),0)</f>
        <v/>
      </c>
      <c r="G17" s="13">
        <f>F17^2</f>
        <v/>
      </c>
      <c r="H17" s="11">
        <f>IF(B17&gt;0,B17*D17,"-")</f>
        <v/>
      </c>
      <c r="I17" s="13">
        <f>IF(B17&gt;0,IF(C17=0,1,1-_xlfn.BINOM.DIST(C17-1,B17,D17,TRUE)),"-")</f>
        <v/>
      </c>
      <c r="J17" s="13">
        <f>IF(B17&gt;0,_xlfn.BETA.DIST(D17,C17+0.5,B17-C17+0.5,TRUE),"-")</f>
        <v/>
      </c>
      <c r="K17" s="14">
        <f>IF(B17&gt;0,_xlfn.BETA.INV(0.05,C17+0.5,B17-C17+0.5),"-")</f>
        <v/>
      </c>
      <c r="L17" s="14">
        <f>IF(B17&gt;0,_xlfn.BETA.INV(0.95,C17+0.5,B17-C17+0.5),"-")</f>
        <v/>
      </c>
      <c r="M17">
        <f>IF(AND(B17&gt;0,B18&gt;0),IF(E18&gt;E17,"OK","INVERSIÓN"),"-")</f>
        <v/>
      </c>
      <c r="N17" s="13">
        <f>IF(AND(B17&gt;0,B18&gt;0),IF(((C17+C18)/(B17+B18))*(1-((C17+C18)/(B17+B18)))&gt;0,(E18-E17)/SQRT(((C17+C18)/(B17+B18))*(1-((C17+C18)/(B17+B18)))*(1/B17+1/B18)),0),"-")</f>
        <v/>
      </c>
      <c r="O17" s="13">
        <f>IF(AND(B17&gt;0,B18&gt;0),1-_xlfn.NORM.S.DIST(N17,TRUE),"-")</f>
        <v/>
      </c>
      <c r="P17">
        <f>IF(AND(B17&gt;0,B18&gt;0),IF(O17&lt;$B$3,"sí","no"),"-")</f>
        <v/>
      </c>
      <c r="Q17">
        <f>IF(B17&gt;0,IF(H17&gt;=$E$3,"sí","no"),"-")</f>
        <v/>
      </c>
      <c r="R17" s="19">
        <f>IF(AND(B17&gt;0,D17&gt;0),ROUNDUP($E$3/D17,0),"-")</f>
        <v/>
      </c>
      <c r="S17">
        <f>IF(B17&gt;0,IF(F17&gt;$B$7,"sí","no"),"-")</f>
        <v/>
      </c>
    </row>
    <row r="18">
      <c r="A18" s="3" t="inlineStr">
        <is>
          <t>E</t>
        </is>
      </c>
      <c r="B18" s="3" t="n">
        <v>837</v>
      </c>
      <c r="C18" s="3" t="n">
        <v>208</v>
      </c>
      <c r="D18" s="16" t="n">
        <v>0.2675</v>
      </c>
      <c r="E18" s="14">
        <f>IF(B18&gt;0,C18/B18,"-")</f>
        <v/>
      </c>
      <c r="F18" s="14">
        <f>IF(B18&gt;0,B18/SUM($B$11:$B$22),0)</f>
        <v/>
      </c>
      <c r="G18" s="13">
        <f>F18^2</f>
        <v/>
      </c>
      <c r="H18" s="11">
        <f>IF(B18&gt;0,B18*D18,"-")</f>
        <v/>
      </c>
      <c r="I18" s="13">
        <f>IF(B18&gt;0,IF(C18=0,1,1-_xlfn.BINOM.DIST(C18-1,B18,D18,TRUE)),"-")</f>
        <v/>
      </c>
      <c r="J18" s="13">
        <f>IF(B18&gt;0,_xlfn.BETA.DIST(D18,C18+0.5,B18-C18+0.5,TRUE),"-")</f>
        <v/>
      </c>
      <c r="K18" s="14">
        <f>IF(B18&gt;0,_xlfn.BETA.INV(0.05,C18+0.5,B18-C18+0.5),"-")</f>
        <v/>
      </c>
      <c r="L18" s="14">
        <f>IF(B18&gt;0,_xlfn.BETA.INV(0.95,C18+0.5,B18-C18+0.5),"-")</f>
        <v/>
      </c>
      <c r="M18">
        <f>IF(AND(B18&gt;0,B19&gt;0),IF(E19&gt;E18,"OK","INVERSIÓN"),"-")</f>
        <v/>
      </c>
      <c r="N18" s="13">
        <f>IF(AND(B18&gt;0,B19&gt;0),IF(((C18+C19)/(B18+B19))*(1-((C18+C19)/(B18+B19)))&gt;0,(E19-E18)/SQRT(((C18+C19)/(B18+B19))*(1-((C18+C19)/(B18+B19)))*(1/B18+1/B19)),0),"-")</f>
        <v/>
      </c>
      <c r="O18" s="13">
        <f>IF(AND(B18&gt;0,B19&gt;0),1-_xlfn.NORM.S.DIST(N18,TRUE),"-")</f>
        <v/>
      </c>
      <c r="P18">
        <f>IF(AND(B18&gt;0,B19&gt;0),IF(O18&lt;$B$3,"sí","no"),"-")</f>
        <v/>
      </c>
      <c r="Q18">
        <f>IF(B18&gt;0,IF(H18&gt;=$E$3,"sí","no"),"-")</f>
        <v/>
      </c>
      <c r="R18" s="19">
        <f>IF(AND(B18&gt;0,D18&gt;0),ROUNDUP($E$3/D18,0),"-")</f>
        <v/>
      </c>
      <c r="S18">
        <f>IF(B18&gt;0,IF(F18&gt;$B$7,"sí","no"),"-")</f>
        <v/>
      </c>
    </row>
    <row r="19">
      <c r="A19" s="3" t="n"/>
      <c r="B19" s="3" t="n"/>
      <c r="C19" s="3" t="n"/>
      <c r="D19" s="16" t="n"/>
      <c r="E19" s="14">
        <f>IF(B19&gt;0,C19/B19,"-")</f>
        <v/>
      </c>
      <c r="F19" s="14">
        <f>IF(B19&gt;0,B19/SUM($B$11:$B$22),0)</f>
        <v/>
      </c>
      <c r="G19" s="13">
        <f>F19^2</f>
        <v/>
      </c>
      <c r="H19" s="11">
        <f>IF(B19&gt;0,B19*D19,"-")</f>
        <v/>
      </c>
      <c r="I19" s="13">
        <f>IF(B19&gt;0,IF(C19=0,1,1-_xlfn.BINOM.DIST(C19-1,B19,D19,TRUE)),"-")</f>
        <v/>
      </c>
      <c r="J19" s="13">
        <f>IF(B19&gt;0,_xlfn.BETA.DIST(D19,C19+0.5,B19-C19+0.5,TRUE),"-")</f>
        <v/>
      </c>
      <c r="K19" s="14">
        <f>IF(B19&gt;0,_xlfn.BETA.INV(0.05,C19+0.5,B19-C19+0.5),"-")</f>
        <v/>
      </c>
      <c r="L19" s="14">
        <f>IF(B19&gt;0,_xlfn.BETA.INV(0.95,C19+0.5,B19-C19+0.5),"-")</f>
        <v/>
      </c>
      <c r="M19">
        <f>IF(AND(B19&gt;0,B20&gt;0),IF(E20&gt;E19,"OK","INVERSIÓN"),"-")</f>
        <v/>
      </c>
      <c r="N19" s="13">
        <f>IF(AND(B19&gt;0,B20&gt;0),IF(((C19+C20)/(B19+B20))*(1-((C19+C20)/(B19+B20)))&gt;0,(E20-E19)/SQRT(((C19+C20)/(B19+B20))*(1-((C19+C20)/(B19+B20)))*(1/B19+1/B20)),0),"-")</f>
        <v/>
      </c>
      <c r="O19" s="13">
        <f>IF(AND(B19&gt;0,B20&gt;0),1-_xlfn.NORM.S.DIST(N19,TRUE),"-")</f>
        <v/>
      </c>
      <c r="P19">
        <f>IF(AND(B19&gt;0,B20&gt;0),IF(O19&lt;$B$3,"sí","no"),"-")</f>
        <v/>
      </c>
      <c r="Q19">
        <f>IF(B19&gt;0,IF(H19&gt;=$E$3,"sí","no"),"-")</f>
        <v/>
      </c>
      <c r="R19" s="19">
        <f>IF(AND(B19&gt;0,D19&gt;0),ROUNDUP($E$3/D19,0),"-")</f>
        <v/>
      </c>
      <c r="S19">
        <f>IF(B19&gt;0,IF(F19&gt;$B$7,"sí","no"),"-")</f>
        <v/>
      </c>
    </row>
    <row r="20">
      <c r="A20" s="3" t="n"/>
      <c r="B20" s="3" t="n"/>
      <c r="C20" s="3" t="n"/>
      <c r="D20" s="16" t="n"/>
      <c r="E20" s="14">
        <f>IF(B20&gt;0,C20/B20,"-")</f>
        <v/>
      </c>
      <c r="F20" s="14">
        <f>IF(B20&gt;0,B20/SUM($B$11:$B$22),0)</f>
        <v/>
      </c>
      <c r="G20" s="13">
        <f>F20^2</f>
        <v/>
      </c>
      <c r="H20" s="11">
        <f>IF(B20&gt;0,B20*D20,"-")</f>
        <v/>
      </c>
      <c r="I20" s="13">
        <f>IF(B20&gt;0,IF(C20=0,1,1-_xlfn.BINOM.DIST(C20-1,B20,D20,TRUE)),"-")</f>
        <v/>
      </c>
      <c r="J20" s="13">
        <f>IF(B20&gt;0,_xlfn.BETA.DIST(D20,C20+0.5,B20-C20+0.5,TRUE),"-")</f>
        <v/>
      </c>
      <c r="K20" s="14">
        <f>IF(B20&gt;0,_xlfn.BETA.INV(0.05,C20+0.5,B20-C20+0.5),"-")</f>
        <v/>
      </c>
      <c r="L20" s="14">
        <f>IF(B20&gt;0,_xlfn.BETA.INV(0.95,C20+0.5,B20-C20+0.5),"-")</f>
        <v/>
      </c>
      <c r="M20">
        <f>IF(AND(B20&gt;0,B21&gt;0),IF(E21&gt;E20,"OK","INVERSIÓN"),"-")</f>
        <v/>
      </c>
      <c r="N20" s="13">
        <f>IF(AND(B20&gt;0,B21&gt;0),IF(((C20+C21)/(B20+B21))*(1-((C20+C21)/(B20+B21)))&gt;0,(E21-E20)/SQRT(((C20+C21)/(B20+B21))*(1-((C20+C21)/(B20+B21)))*(1/B20+1/B21)),0),"-")</f>
        <v/>
      </c>
      <c r="O20" s="13">
        <f>IF(AND(B20&gt;0,B21&gt;0),1-_xlfn.NORM.S.DIST(N20,TRUE),"-")</f>
        <v/>
      </c>
      <c r="P20">
        <f>IF(AND(B20&gt;0,B21&gt;0),IF(O20&lt;$B$3,"sí","no"),"-")</f>
        <v/>
      </c>
      <c r="Q20">
        <f>IF(B20&gt;0,IF(H20&gt;=$E$3,"sí","no"),"-")</f>
        <v/>
      </c>
      <c r="R20" s="19">
        <f>IF(AND(B20&gt;0,D20&gt;0),ROUNDUP($E$3/D20,0),"-")</f>
        <v/>
      </c>
      <c r="S20">
        <f>IF(B20&gt;0,IF(F20&gt;$B$7,"sí","no"),"-")</f>
        <v/>
      </c>
    </row>
    <row r="21">
      <c r="A21" s="3" t="n"/>
      <c r="B21" s="3" t="n"/>
      <c r="C21" s="3" t="n"/>
      <c r="D21" s="16" t="n"/>
      <c r="E21" s="14">
        <f>IF(B21&gt;0,C21/B21,"-")</f>
        <v/>
      </c>
      <c r="F21" s="14">
        <f>IF(B21&gt;0,B21/SUM($B$11:$B$22),0)</f>
        <v/>
      </c>
      <c r="G21" s="13">
        <f>F21^2</f>
        <v/>
      </c>
      <c r="H21" s="11">
        <f>IF(B21&gt;0,B21*D21,"-")</f>
        <v/>
      </c>
      <c r="I21" s="13">
        <f>IF(B21&gt;0,IF(C21=0,1,1-_xlfn.BINOM.DIST(C21-1,B21,D21,TRUE)),"-")</f>
        <v/>
      </c>
      <c r="J21" s="13">
        <f>IF(B21&gt;0,_xlfn.BETA.DIST(D21,C21+0.5,B21-C21+0.5,TRUE),"-")</f>
        <v/>
      </c>
      <c r="K21" s="14">
        <f>IF(B21&gt;0,_xlfn.BETA.INV(0.05,C21+0.5,B21-C21+0.5),"-")</f>
        <v/>
      </c>
      <c r="L21" s="14">
        <f>IF(B21&gt;0,_xlfn.BETA.INV(0.95,C21+0.5,B21-C21+0.5),"-")</f>
        <v/>
      </c>
      <c r="M21">
        <f>IF(AND(B21&gt;0,B22&gt;0),IF(E22&gt;E21,"OK","INVERSIÓN"),"-")</f>
        <v/>
      </c>
      <c r="N21" s="13">
        <f>IF(AND(B21&gt;0,B22&gt;0),IF(((C21+C22)/(B21+B22))*(1-((C21+C22)/(B21+B22)))&gt;0,(E22-E21)/SQRT(((C21+C22)/(B21+B22))*(1-((C21+C22)/(B21+B22)))*(1/B21+1/B22)),0),"-")</f>
        <v/>
      </c>
      <c r="O21" s="13">
        <f>IF(AND(B21&gt;0,B22&gt;0),1-_xlfn.NORM.S.DIST(N21,TRUE),"-")</f>
        <v/>
      </c>
      <c r="P21">
        <f>IF(AND(B21&gt;0,B22&gt;0),IF(O21&lt;$B$3,"sí","no"),"-")</f>
        <v/>
      </c>
      <c r="Q21">
        <f>IF(B21&gt;0,IF(H21&gt;=$E$3,"sí","no"),"-")</f>
        <v/>
      </c>
      <c r="R21" s="19">
        <f>IF(AND(B21&gt;0,D21&gt;0),ROUNDUP($E$3/D21,0),"-")</f>
        <v/>
      </c>
      <c r="S21">
        <f>IF(B21&gt;0,IF(F21&gt;$B$7,"sí","no"),"-")</f>
        <v/>
      </c>
    </row>
    <row r="22">
      <c r="A22" s="3" t="n"/>
      <c r="B22" s="3" t="n"/>
      <c r="C22" s="3" t="n"/>
      <c r="D22" s="16" t="n"/>
      <c r="E22" s="14">
        <f>IF(B22&gt;0,C22/B22,"-")</f>
        <v/>
      </c>
      <c r="F22" s="14">
        <f>IF(B22&gt;0,B22/SUM($B$11:$B$22),0)</f>
        <v/>
      </c>
      <c r="G22" s="13">
        <f>F22^2</f>
        <v/>
      </c>
      <c r="H22" s="11">
        <f>IF(B22&gt;0,B22*D22,"-")</f>
        <v/>
      </c>
      <c r="I22" s="13">
        <f>IF(B22&gt;0,IF(C22=0,1,1-_xlfn.BINOM.DIST(C22-1,B22,D22,TRUE)),"-")</f>
        <v/>
      </c>
      <c r="J22" s="13">
        <f>IF(B22&gt;0,_xlfn.BETA.DIST(D22,C22+0.5,B22-C22+0.5,TRUE),"-")</f>
        <v/>
      </c>
      <c r="K22" s="14">
        <f>IF(B22&gt;0,_xlfn.BETA.INV(0.05,C22+0.5,B22-C22+0.5),"-")</f>
        <v/>
      </c>
      <c r="L22" s="14">
        <f>IF(B22&gt;0,_xlfn.BETA.INV(0.95,C22+0.5,B22-C22+0.5),"-")</f>
        <v/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>
        <f>IF(B22&gt;0,IF(H22&gt;=$E$3,"sí","no"),"-")</f>
        <v/>
      </c>
      <c r="R22" s="19">
        <f>IF(AND(B22&gt;0,D22&gt;0),ROUNDUP($E$3/D22,0),"-")</f>
        <v/>
      </c>
      <c r="S22">
        <f>IF(B22&gt;0,IF(F22&gt;$B$7,"sí","no"),"-")</f>
        <v/>
      </c>
    </row>
    <row r="24">
      <c r="A24" s="1" t="inlineStr">
        <is>
          <t>Resumen</t>
        </is>
      </c>
    </row>
    <row r="25">
      <c r="A25" s="2" t="inlineStr">
        <is>
          <t>Bandas activas K</t>
        </is>
      </c>
      <c r="B25" s="20">
        <f>COUNTIF(B11:B22,"&gt;0")</f>
        <v/>
      </c>
    </row>
    <row r="26">
      <c r="A26" s="2" t="inlineStr">
        <is>
          <t>n total</t>
        </is>
      </c>
      <c r="B26" s="21">
        <f>SUM(B11:B22)</f>
        <v/>
      </c>
    </row>
    <row r="27">
      <c r="A27" s="2" t="inlineStr">
        <is>
          <t>Malos totales</t>
        </is>
      </c>
      <c r="B27" s="21">
        <f>SUM(C11:C22)</f>
        <v/>
      </c>
    </row>
    <row r="28">
      <c r="A28" s="2" t="inlineStr">
        <is>
          <t>Tasa global</t>
        </is>
      </c>
      <c r="B28" s="22">
        <f>B27/B26</f>
        <v/>
      </c>
    </row>
    <row r="29">
      <c r="A29" s="2" t="inlineStr">
        <is>
          <t>PD asignada media (ponderada por n)</t>
        </is>
      </c>
      <c r="B29" s="22">
        <f>SUMPRODUCT(B11:B22,D11:D22)/B26</f>
        <v/>
      </c>
    </row>
    <row r="30">
      <c r="A30" s="2" t="inlineStr">
        <is>
          <t>HHI = Σ cuota²</t>
        </is>
      </c>
      <c r="B30" s="4">
        <f>SUM(G11:G22)</f>
        <v/>
      </c>
    </row>
    <row r="31">
      <c r="A31" s="2" t="inlineStr">
        <is>
          <t>HHI mínimo = 1/K</t>
        </is>
      </c>
      <c r="B31" s="4">
        <f>1/B25</f>
        <v/>
      </c>
    </row>
    <row r="32">
      <c r="A32" s="2" t="inlineStr">
        <is>
          <t>HHI normalizado (HHI − 1/K)/(1 − 1/K)</t>
        </is>
      </c>
      <c r="B32" s="4">
        <f>(B30-B31)/(1-B31)</f>
        <v/>
      </c>
    </row>
    <row r="33">
      <c r="A33" s="2" t="inlineStr">
        <is>
          <t>Índice del BCE HI = 1 + ln(HHI)/ln(K)</t>
        </is>
      </c>
      <c r="B33" s="4">
        <f>1+LN(B30)/LN(B25)</f>
        <v/>
      </c>
    </row>
    <row r="34">
      <c r="A34" s="2" t="inlineStr">
        <is>
          <t>Número equivalente de bandas 1/HHI</t>
        </is>
      </c>
      <c r="B34" s="5">
        <f>1/B30</f>
        <v/>
      </c>
    </row>
    <row r="35">
      <c r="A35" s="2" t="inlineStr">
        <is>
          <t>Mayor % de población en una banda</t>
        </is>
      </c>
      <c r="B35" s="22">
        <f>MAX(F11:F22)</f>
        <v/>
      </c>
    </row>
    <row r="36">
      <c r="A36" s="2" t="inlineStr">
        <is>
          <t>Inversiones de monotonía</t>
        </is>
      </c>
      <c r="B36" s="20">
        <f>COUNTIF(M11:M22,"INVERSIÓN")</f>
        <v/>
      </c>
    </row>
    <row r="37">
      <c r="A37" s="2" t="inlineStr">
        <is>
          <t>Pares adyacentes NO separables</t>
        </is>
      </c>
      <c r="B37" s="20">
        <f>COUNTIF(P11:P22,"no")</f>
        <v/>
      </c>
    </row>
    <row r="38">
      <c r="A38" s="2" t="inlineStr">
        <is>
          <t>Bandas sin potencia para detectar m·PD</t>
        </is>
      </c>
      <c r="B38" s="20">
        <f>COUNTIF(Q11:Q22,"no")</f>
        <v/>
      </c>
    </row>
    <row r="39">
      <c r="A39" s="2" t="inlineStr">
        <is>
          <t>Bandas concentradas (&gt; % máximo)</t>
        </is>
      </c>
      <c r="B39" s="20">
        <f>COUNTIF(S11:S22,"sí")</f>
        <v/>
      </c>
    </row>
    <row r="40">
      <c r="A40" s="2" t="inlineStr">
        <is>
          <t>Bandas con p binomial &lt; α</t>
        </is>
      </c>
      <c r="B40" s="20">
        <f>COUNTIF(I11:I22,"&lt;"&amp;B4)</f>
        <v/>
      </c>
    </row>
    <row r="42">
      <c r="A42" t="inlineStr">
        <is>
          <t>Valores por defecto: Banco Austral, DEV+HO+OOT (clase 4), malos = round(tasa × n). Para el backtest OOT de la clase 5 pegue n = 432, 199, 244, 235, 239, 220, 172, 263 y malos = 1, 3, 4, 8, 8, 9, 22, 64 con PD 0,11% … 26,91%.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2026-09-28T06:47:08Z</dcterms:created>
  <dcterms:modified xmlns:dcterms="http://purl.org/dc/terms/" xmlns:xsi="http://www.w3.org/2001/XMLSchema-instance" xsi:type="dcterms:W3CDTF">2026-09-28T06:47:08Z</dcterms:modified>
</cp:coreProperties>
</file>