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wap2x2" sheetId="2" state="visible" r:id="rId2"/>
    <sheet xmlns:r="http://schemas.openxmlformats.org/officeDocument/2006/relationships" name="Binomial" sheetId="3" state="visible" r:id="rId3"/>
    <sheet xmlns:r="http://schemas.openxmlformats.org/officeDocument/2006/relationships" name="Explor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3" fillId="0" borderId="0" pivotButton="0" quotePrefix="0" xfId="0"/>
    <xf numFmtId="0" fontId="0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2" borderId="0" pivotButton="0" quotePrefix="0" xfId="0"/>
    <xf numFmtId="166" fontId="0" fillId="0" borderId="0" pivotButton="0" quotePrefix="0" xfId="0"/>
    <xf numFmtId="1" fontId="0" fillId="0" borderId="0" pivotButton="0" quotePrefix="0" xfId="0"/>
    <xf numFmtId="1" fontId="0" fillId="2" borderId="0" pivotButton="0" quotePrefix="0" xfId="0"/>
    <xf numFmtId="2" fontId="0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M18 · Swap-set 2×2 con intervalos binomiales — calculadora</t>
        </is>
      </c>
    </row>
    <row r="2">
      <c r="A2" t="inlineStr"/>
    </row>
    <row r="3">
      <c r="A3" t="inlineStr">
        <is>
          <t>Qué es: la matriz 2×2 política vieja × política nueva (swap-set) con tasas de malos, IC exactos por celda,</t>
        </is>
      </c>
    </row>
    <row r="4">
      <c r="A4" t="inlineStr">
        <is>
          <t>variación de mora de la cartera, su IC (diseño pareado), punto de quiebre del swap-in, cotas sin supuestos (Manski),</t>
        </is>
      </c>
    </row>
    <row r="5">
      <c r="A5" t="inlineStr">
        <is>
          <t>test binomial de la cohorte swap-in contra su PD y un bloque de costo de exploración.</t>
        </is>
      </c>
    </row>
    <row r="6">
      <c r="A6" t="inlineStr"/>
    </row>
    <row r="7">
      <c r="A7" t="inlineStr">
        <is>
          <t>Cómo usarla: edita SOLO las celdas amarillas. Valores por defecto = Banco Austral OOT, iso-aprobación 90,2%</t>
        </is>
      </c>
    </row>
    <row r="8">
      <c r="A8" t="inlineStr">
        <is>
          <t>(ambas aprueban 51/1.680 · swap-out 30/128 · swap-in 12/128 · ambas rechazan 26/68; PD calibrada swap-in 5,1%).</t>
        </is>
      </c>
    </row>
    <row r="9">
      <c r="A9" t="inlineStr"/>
    </row>
    <row r="10">
      <c r="A10" t="inlineStr">
        <is>
          <t>Hojas:</t>
        </is>
      </c>
    </row>
    <row r="11">
      <c r="A11" t="inlineStr">
        <is>
          <t xml:space="preserve">  Swap2x2      — matriz, IC Clopper-Pearson (BETA.INV) y Wilson, Δ de cartera, IC de Newcombe, quiebre, Manski.</t>
        </is>
      </c>
    </row>
    <row r="12">
      <c r="A12" t="inlineStr">
        <is>
          <t xml:space="preserve">  Binomial     — pmf auxiliar (x = 0..600) para el p-valor bilateral «minlike» (el de scipy.stats.binomtest).</t>
        </is>
      </c>
    </row>
    <row r="13">
      <c r="A13" t="inlineStr">
        <is>
          <t xml:space="preserve">  Exploracion  — banda de exploración: explorados útiles, error estándar, costo neto esperado.</t>
        </is>
      </c>
    </row>
    <row r="14">
      <c r="A14" t="inlineStr"/>
    </row>
    <row r="15">
      <c r="A15" t="inlineStr">
        <is>
          <t>Supuestos y convenciones:</t>
        </is>
      </c>
    </row>
    <row r="16">
      <c r="A16" t="inlineStr">
        <is>
          <t xml:space="preserve">  · Target 1 = malo (90+ a 12 meses). Celdas disjuntas ⇒ binomiales independientes condicionales a la pertenencia.</t>
        </is>
      </c>
    </row>
    <row r="17">
      <c r="A17" t="inlineStr">
        <is>
          <t xml:space="preserve">  · IC de Δ con Newcombe escalado por s/K solo vale a iso-aprobación (n swap-in = n swap-out). Fuera de iso se</t>
        </is>
      </c>
    </row>
    <row r="18">
      <c r="A18" t="inlineStr">
        <is>
          <t xml:space="preserve">    muestra el IC de Wald por método delta, que incluye la celda compartida.</t>
        </is>
      </c>
    </row>
    <row r="19">
      <c r="A19" t="inlineStr">
        <is>
          <t xml:space="preserve">  · Tres p-valores para la cohorte swap-in: unilateral (H1: mora &gt; PD), bilateral por duplicación y bilateral minlike.</t>
        </is>
      </c>
    </row>
    <row r="20">
      <c r="A20" t="inlineStr">
        <is>
          <t xml:space="preserve">    El curso reportó p 0,04 = minlike (scipy). Duplicar la cola da ≈ 0,06: la definición del bilateral importa.</t>
        </is>
      </c>
    </row>
    <row r="21">
      <c r="A21" t="inlineStr">
        <is>
          <t xml:space="preserve">  · En la vida real el swap-in NO tiene desempeño observado: sus malos serían una estimación (ver M18 §5).</t>
        </is>
      </c>
    </row>
    <row r="22">
      <c r="A22" t="inlineStr">
        <is>
          <t xml:space="preserve">  · n máximo por celda para la hoja Binomial: 600.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>
      <c r="A1" s="2" t="inlineStr">
        <is>
          <t>Swap-set 2×2 (edita las celdas amarillas)</t>
        </is>
      </c>
    </row>
    <row r="3">
      <c r="A3" t="inlineStr">
        <is>
          <t>Confianza</t>
        </is>
      </c>
      <c r="B3" s="3" t="n">
        <v>0.95</v>
      </c>
    </row>
    <row r="4">
      <c r="A4" t="inlineStr">
        <is>
          <t>α</t>
        </is>
      </c>
      <c r="B4">
        <f>1-B3</f>
        <v/>
      </c>
    </row>
    <row r="5">
      <c r="A5" t="inlineStr">
        <is>
          <t>z (1−α/2)</t>
        </is>
      </c>
      <c r="B5">
        <f>_xlfn.NORM.S.INV(1-B4/2)</f>
        <v/>
      </c>
    </row>
    <row r="7">
      <c r="A7" s="4" t="inlineStr">
        <is>
          <t>Celda</t>
        </is>
      </c>
      <c r="B7" s="4" t="inlineStr">
        <is>
          <t>n</t>
        </is>
      </c>
      <c r="C7" s="4" t="inlineStr">
        <is>
          <t>malos</t>
        </is>
      </c>
      <c r="D7" s="4" t="inlineStr">
        <is>
          <t>tasa malos</t>
        </is>
      </c>
      <c r="E7" s="4" t="inlineStr">
        <is>
          <t>CP inferior</t>
        </is>
      </c>
      <c r="F7" s="4" t="inlineStr">
        <is>
          <t>CP superior</t>
        </is>
      </c>
      <c r="G7" s="4" t="inlineStr">
        <is>
          <t>Wilson inf.</t>
        </is>
      </c>
      <c r="H7" s="4" t="inlineStr">
        <is>
          <t>Wilson sup.</t>
        </is>
      </c>
      <c r="I7" s="4" t="inlineStr">
        <is>
          <t>EAD medio (MM$)</t>
        </is>
      </c>
      <c r="J7" s="4" t="inlineStr">
        <is>
          <t>Pérdida realizada (MM$)</t>
        </is>
      </c>
      <c r="K7" s="4" t="inlineStr">
        <is>
          <t>LGD</t>
        </is>
      </c>
      <c r="L7" s="3" t="n">
        <v>0.45</v>
      </c>
    </row>
    <row r="8">
      <c r="A8" t="inlineStr">
        <is>
          <t>ambas aprueban</t>
        </is>
      </c>
      <c r="B8" s="5" t="n">
        <v>1680</v>
      </c>
      <c r="C8" s="5" t="n">
        <v>51</v>
      </c>
      <c r="D8" s="6">
        <f>C8/B8</f>
        <v/>
      </c>
      <c r="E8" s="6">
        <f>IF(C8=0,0,_xlfn.BETA.INV($B$4/2,C8,B8-C8+1))</f>
        <v/>
      </c>
      <c r="F8" s="6">
        <f>IF(C8=B8,1,_xlfn.BETA.INV(1-$B$4/2,C8+1,B8-C8))</f>
        <v/>
      </c>
      <c r="G8" s="6">
        <f>(D8+$B$5^2/(2*B8)-$B$5*SQRT(D8*(1-D8)/B8+$B$5^2/(4*B8^2)))/(1+$B$5^2/B8)</f>
        <v/>
      </c>
      <c r="H8" s="6">
        <f>(D8+$B$5^2/(2*B8)+$B$5*SQRT(D8*(1-D8)/B8+$B$5^2/(4*B8^2)))/(1+$B$5^2/B8)</f>
        <v/>
      </c>
      <c r="I8" s="5" t="n">
        <v>2.5</v>
      </c>
      <c r="J8" s="7">
        <f>$L$7*C8*I8</f>
        <v/>
      </c>
    </row>
    <row r="9">
      <c r="A9" t="inlineStr">
        <is>
          <t>swap-out (sale)</t>
        </is>
      </c>
      <c r="B9" s="5" t="n">
        <v>128</v>
      </c>
      <c r="C9" s="5" t="n">
        <v>30</v>
      </c>
      <c r="D9" s="6">
        <f>C9/B9</f>
        <v/>
      </c>
      <c r="E9" s="6">
        <f>IF(C9=0,0,_xlfn.BETA.INV($B$4/2,C9,B9-C9+1))</f>
        <v/>
      </c>
      <c r="F9" s="6">
        <f>IF(C9=B9,1,_xlfn.BETA.INV(1-$B$4/2,C9+1,B9-C9))</f>
        <v/>
      </c>
      <c r="G9" s="6">
        <f>(D9+$B$5^2/(2*B9)-$B$5*SQRT(D9*(1-D9)/B9+$B$5^2/(4*B9^2)))/(1+$B$5^2/B9)</f>
        <v/>
      </c>
      <c r="H9" s="6">
        <f>(D9+$B$5^2/(2*B9)+$B$5*SQRT(D9*(1-D9)/B9+$B$5^2/(4*B9^2)))/(1+$B$5^2/B9)</f>
        <v/>
      </c>
      <c r="I9" s="5" t="n">
        <v>2.5</v>
      </c>
      <c r="J9" s="7">
        <f>$L$7*C9*I9</f>
        <v/>
      </c>
    </row>
    <row r="10">
      <c r="A10" t="inlineStr">
        <is>
          <t>swap-in (entra)</t>
        </is>
      </c>
      <c r="B10" s="5" t="n">
        <v>128</v>
      </c>
      <c r="C10" s="5" t="n">
        <v>12</v>
      </c>
      <c r="D10" s="6">
        <f>C10/B10</f>
        <v/>
      </c>
      <c r="E10" s="6">
        <f>IF(C10=0,0,_xlfn.BETA.INV($B$4/2,C10,B10-C10+1))</f>
        <v/>
      </c>
      <c r="F10" s="6">
        <f>IF(C10=B10,1,_xlfn.BETA.INV(1-$B$4/2,C10+1,B10-C10))</f>
        <v/>
      </c>
      <c r="G10" s="6">
        <f>(D10+$B$5^2/(2*B10)-$B$5*SQRT(D10*(1-D10)/B10+$B$5^2/(4*B10^2)))/(1+$B$5^2/B10)</f>
        <v/>
      </c>
      <c r="H10" s="6">
        <f>(D10+$B$5^2/(2*B10)+$B$5*SQRT(D10*(1-D10)/B10+$B$5^2/(4*B10^2)))/(1+$B$5^2/B10)</f>
        <v/>
      </c>
      <c r="I10" s="5" t="n">
        <v>2.5</v>
      </c>
      <c r="J10" s="7">
        <f>$L$7*C10*I10</f>
        <v/>
      </c>
    </row>
    <row r="11">
      <c r="A11" t="inlineStr">
        <is>
          <t>ambas rechazan</t>
        </is>
      </c>
      <c r="B11" s="5" t="n">
        <v>68</v>
      </c>
      <c r="C11" s="5" t="n">
        <v>26</v>
      </c>
      <c r="D11" s="6">
        <f>C11/B11</f>
        <v/>
      </c>
      <c r="E11" s="6">
        <f>IF(C11=0,0,_xlfn.BETA.INV($B$4/2,C11,B11-C11+1))</f>
        <v/>
      </c>
      <c r="F11" s="6">
        <f>IF(C11=B11,1,_xlfn.BETA.INV(1-$B$4/2,C11+1,B11-C11))</f>
        <v/>
      </c>
      <c r="G11" s="6">
        <f>(D11+$B$5^2/(2*B11)-$B$5*SQRT(D11*(1-D11)/B11+$B$5^2/(4*B11^2)))/(1+$B$5^2/B11)</f>
        <v/>
      </c>
      <c r="H11" s="6">
        <f>(D11+$B$5^2/(2*B11)+$B$5*SQRT(D11*(1-D11)/B11+$B$5^2/(4*B11^2)))/(1+$B$5^2/B11)</f>
        <v/>
      </c>
      <c r="I11" s="5" t="n">
        <v>2.5</v>
      </c>
      <c r="J11" s="7">
        <f>$L$7*C11*I11</f>
        <v/>
      </c>
    </row>
    <row r="13">
      <c r="A13" s="4" t="inlineStr">
        <is>
          <t>Cartera aprobada</t>
        </is>
      </c>
    </row>
    <row r="14">
      <c r="A14" t="inlineStr">
        <is>
          <t>K vieja (n11 + n10)</t>
        </is>
      </c>
      <c r="B14">
        <f>B8+B9</f>
        <v/>
      </c>
    </row>
    <row r="15">
      <c r="A15" t="inlineStr">
        <is>
          <t>K nueva (n11 + n01)</t>
        </is>
      </c>
      <c r="B15">
        <f>B8+B10</f>
        <v/>
      </c>
    </row>
    <row r="16">
      <c r="A16" t="inlineStr">
        <is>
          <t>¿Iso-aprobación? (n01 = n10)</t>
        </is>
      </c>
      <c r="B16">
        <f>IF(B9=B10,"sí","NO")</f>
        <v/>
      </c>
    </row>
    <row r="17">
      <c r="A17" t="inlineStr">
        <is>
          <t>Mora vieja</t>
        </is>
      </c>
      <c r="B17" s="6">
        <f>(C8+C9)/B14</f>
        <v/>
      </c>
    </row>
    <row r="18">
      <c r="A18" t="inlineStr">
        <is>
          <t>Mora nueva</t>
        </is>
      </c>
      <c r="B18" s="6">
        <f>(C8+C10)/B15</f>
        <v/>
      </c>
    </row>
    <row r="19">
      <c r="A19" t="inlineStr">
        <is>
          <t>Δ = nueva − vieja</t>
        </is>
      </c>
      <c r="B19" s="6">
        <f>B18-B17</f>
        <v/>
      </c>
    </row>
    <row r="20">
      <c r="A20" t="inlineStr">
        <is>
          <t>Δ por identidad [n01(b01−BRv) − n10(b10−BRv)]/Kn</t>
        </is>
      </c>
      <c r="B20" s="6">
        <f>(B10*(D10-B17)-B9*(D9-B17))/B15</f>
        <v/>
      </c>
    </row>
    <row r="21">
      <c r="A21" t="inlineStr">
        <is>
          <t>Variación relativa</t>
        </is>
      </c>
      <c r="B21" s="8">
        <f>B18/B17-1</f>
        <v/>
      </c>
    </row>
    <row r="23">
      <c r="A23" s="4" t="inlineStr">
        <is>
          <t>Swap-in vs swap-out</t>
        </is>
      </c>
    </row>
    <row r="24">
      <c r="A24" t="inlineStr">
        <is>
          <t>b_in − b_out</t>
        </is>
      </c>
      <c r="B24" s="6">
        <f>D10-D9</f>
        <v/>
      </c>
    </row>
    <row r="25">
      <c r="A25" t="inlineStr">
        <is>
          <t>Newcombe inferior (b_in − b_out)</t>
        </is>
      </c>
      <c r="B25" s="6">
        <f>B24-SQRT((D10-G10)^2+(H9-D9)^2)</f>
        <v/>
      </c>
    </row>
    <row r="26">
      <c r="A26" t="inlineStr">
        <is>
          <t>Newcombe superior (b_in − b_out)</t>
        </is>
      </c>
      <c r="B26" s="6">
        <f>B24+SQRT((H10-D10)^2+(D9-G9)^2)</f>
        <v/>
      </c>
    </row>
    <row r="27">
      <c r="A27" t="inlineStr">
        <is>
          <t>IC de Δ (iso: Newcombe × s/K) inferior</t>
        </is>
      </c>
      <c r="B27" s="6">
        <f>IF(B9=B10,B25*B10/B15,"no iso")</f>
        <v/>
      </c>
    </row>
    <row r="28">
      <c r="A28" t="inlineStr">
        <is>
          <t>IC de Δ (iso: Newcombe × s/K) superior</t>
        </is>
      </c>
      <c r="B28" s="6">
        <f>IF(B9=B10,B26*B10/B15,"no iso")</f>
        <v/>
      </c>
    </row>
    <row r="29">
      <c r="A29" t="inlineStr">
        <is>
          <t>EE de Δ por método delta (Wald, general)</t>
        </is>
      </c>
      <c r="B29" s="6">
        <f>SQRT(B8*D8*(1-D8)*(1/B15-1/B14)^2+B10*D10*(1-D10)/B15^2+B9*D9*(1-D9)/B14^2)</f>
        <v/>
      </c>
    </row>
    <row r="30">
      <c r="A30" t="inlineStr">
        <is>
          <t>IC Wald de Δ inferior</t>
        </is>
      </c>
      <c r="B30" s="6">
        <f>B19-B5*B29</f>
        <v/>
      </c>
    </row>
    <row r="31">
      <c r="A31" t="inlineStr">
        <is>
          <t>IC Wald de Δ superior</t>
        </is>
      </c>
      <c r="B31" s="6">
        <f>B19+B5*B29</f>
        <v/>
      </c>
    </row>
    <row r="33">
      <c r="A33" s="4" t="inlineStr">
        <is>
          <t>Robustez sin supuestos</t>
        </is>
      </c>
    </row>
    <row r="34">
      <c r="A34" t="inlineStr">
        <is>
          <t>b_in de quiebre (mora nueva = vieja)</t>
        </is>
      </c>
      <c r="B34" s="6">
        <f>(B15*B17-C8)/B10</f>
        <v/>
      </c>
    </row>
    <row r="35">
      <c r="A35" t="inlineStr">
        <is>
          <t>Múltiplo de quiebre (b_in* / b_in)</t>
        </is>
      </c>
      <c r="B35" s="7">
        <f>IF(D10&gt;0,B34/D10,"∞")</f>
        <v/>
      </c>
    </row>
    <row r="36">
      <c r="A36" t="inlineStr">
        <is>
          <t>Manski: mora nueva si b_in = 0</t>
        </is>
      </c>
      <c r="B36" s="6">
        <f>C8/B15</f>
        <v/>
      </c>
    </row>
    <row r="37">
      <c r="A37" t="inlineStr">
        <is>
          <t>Manski: mora nueva si b_in = 1</t>
        </is>
      </c>
      <c r="B37" s="6">
        <f>(C8+B10)/B15</f>
        <v/>
      </c>
    </row>
    <row r="39">
      <c r="A39" s="4" t="inlineStr">
        <is>
          <t>Pérdida en pesos (EAD medio por celda)</t>
        </is>
      </c>
    </row>
    <row r="40">
      <c r="A40" t="inlineStr">
        <is>
          <t>Pérdida vieja (MM$)</t>
        </is>
      </c>
      <c r="B40" s="7">
        <f>J8+J9</f>
        <v/>
      </c>
    </row>
    <row r="41">
      <c r="A41" t="inlineStr">
        <is>
          <t>Pérdida nueva (MM$)</t>
        </is>
      </c>
      <c r="B41" s="7">
        <f>J8+J10</f>
        <v/>
      </c>
    </row>
    <row r="42">
      <c r="A42" t="inlineStr">
        <is>
          <t>Δ pérdida = swap-in − swap-out</t>
        </is>
      </c>
      <c r="B42" s="7">
        <f>J10-J9</f>
        <v/>
      </c>
    </row>
    <row r="43">
      <c r="A43" t="inlineStr">
        <is>
          <t>Monto vieja / nueva (MM$)</t>
        </is>
      </c>
      <c r="B43" s="9">
        <f>B8*I8+B9*I9</f>
        <v/>
      </c>
      <c r="C43" s="9">
        <f>B8*I8+B10*I10</f>
        <v/>
      </c>
    </row>
    <row r="45">
      <c r="A45" s="4" t="inlineStr">
        <is>
          <t>Cohorte swap-in vs su PD</t>
        </is>
      </c>
    </row>
    <row r="46">
      <c r="A46" t="inlineStr">
        <is>
          <t>PD calibrada media del swap-in</t>
        </is>
      </c>
      <c r="B46" s="10" t="n">
        <v>0.051</v>
      </c>
    </row>
    <row r="47">
      <c r="A47" t="inlineStr">
        <is>
          <t>Malos esperados</t>
        </is>
      </c>
      <c r="B47" s="9">
        <f>B10*B46</f>
        <v/>
      </c>
    </row>
    <row r="48">
      <c r="A48" t="inlineStr">
        <is>
          <t>p unilateral P(X ≥ k)</t>
        </is>
      </c>
      <c r="B48" s="11">
        <f>IF(C10=0,1,1-_xlfn.BINOM.DIST(C10-1,B10,B46,TRUE))</f>
        <v/>
      </c>
    </row>
    <row r="49">
      <c r="A49" t="inlineStr">
        <is>
          <t>p bilateral (duplicación)</t>
        </is>
      </c>
      <c r="B49" s="11">
        <f>MIN(1,2*MIN(_xlfn.BINOM.DIST(C10,B10,B46,TRUE),B48))</f>
        <v/>
      </c>
    </row>
    <row r="50">
      <c r="A50" t="inlineStr">
        <is>
          <t>p bilateral minlike (scipy; hoja Binomial)</t>
        </is>
      </c>
      <c r="B50" s="11">
        <f>Binomial!E2</f>
        <v/>
      </c>
    </row>
    <row r="51">
      <c r="A51" t="inlineStr">
        <is>
          <t>Semáforo (minlike; 0,05 / 0,01)</t>
        </is>
      </c>
      <c r="B51">
        <f>IF(B50&lt;0.01,"rojo",IF(B50&lt;0.05,"amarillo","verde"))</f>
        <v/>
      </c>
    </row>
    <row r="53">
      <c r="A53" s="4" t="inlineStr">
        <is>
          <t>Tamaño de muestra (aprox. normal)</t>
        </is>
      </c>
    </row>
    <row r="54">
      <c r="A54" t="inlineStr">
        <is>
          <t>Mora real a detectar p1</t>
        </is>
      </c>
      <c r="B54" s="10" t="n">
        <v>0.094</v>
      </c>
    </row>
    <row r="55">
      <c r="A55" t="inlineStr">
        <is>
          <t>Potencia deseada</t>
        </is>
      </c>
      <c r="B55" s="3" t="n">
        <v>0.8</v>
      </c>
    </row>
    <row r="56">
      <c r="A56" t="inlineStr">
        <is>
          <t>n necesario (bilateral, α de B4)</t>
        </is>
      </c>
      <c r="B56" s="12">
        <f>((B5*SQRT(B46*(1-B46))+_xlfn.NORM.S.INV(B55)*SQRT(B54*(1-B54)))/(B54-B46))^2</f>
        <v/>
      </c>
    </row>
    <row r="57">
      <c r="A57" t="inlineStr">
        <is>
          <t>Créditos swap-in por mes</t>
        </is>
      </c>
      <c r="B57" s="5" t="n">
        <v>25</v>
      </c>
    </row>
    <row r="58">
      <c r="A58" t="inlineStr">
        <is>
          <t>Meses de originación + 12 de maduración</t>
        </is>
      </c>
      <c r="B58">
        <f>ROUNDUP(B56/B57,0)+12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8" customWidth="1" min="4" max="4"/>
  </cols>
  <sheetData>
    <row r="1">
      <c r="A1" s="4" t="inlineStr">
        <is>
          <t>x</t>
        </is>
      </c>
      <c r="B1" s="4" t="inlineStr">
        <is>
          <t>pmf(x; n, p0)</t>
        </is>
      </c>
      <c r="C1" s="4" t="inlineStr">
        <is>
          <t>¿pmf ≤ pmf(k)?</t>
        </is>
      </c>
      <c r="D1" s="4" t="inlineStr">
        <is>
          <t>pmf(k) observado</t>
        </is>
      </c>
      <c r="E1" s="4" t="inlineStr">
        <is>
          <t>p minlike</t>
        </is>
      </c>
    </row>
    <row r="2">
      <c r="A2" t="n">
        <v>0</v>
      </c>
      <c r="B2">
        <f>IF(A2&lt;=Swap2x2!$B$10,_xlfn.BINOM.DIST(A2,Swap2x2!$B$10,Swap2x2!$B$46,FALSE),0)</f>
        <v/>
      </c>
      <c r="C2">
        <f>IF(AND(A2&lt;=Swap2x2!$B$10,B2&lt;=$D$2*(1+1E-7)),1,0)</f>
        <v/>
      </c>
      <c r="D2">
        <f>INDEX(B2:B602,Swap2x2!C10+1)</f>
        <v/>
      </c>
      <c r="E2" s="11">
        <f>MIN(1,SUMPRODUCT(C2:C602,B2:B602))</f>
        <v/>
      </c>
    </row>
    <row r="3">
      <c r="A3" t="n">
        <v>1</v>
      </c>
      <c r="B3">
        <f>IF(A3&lt;=Swap2x2!$B$10,_xlfn.BINOM.DIST(A3,Swap2x2!$B$10,Swap2x2!$B$46,FALSE),0)</f>
        <v/>
      </c>
      <c r="C3">
        <f>IF(AND(A3&lt;=Swap2x2!$B$10,B3&lt;=$D$2*(1+1E-7)),1,0)</f>
        <v/>
      </c>
    </row>
    <row r="4">
      <c r="A4" t="n">
        <v>2</v>
      </c>
      <c r="B4">
        <f>IF(A4&lt;=Swap2x2!$B$10,_xlfn.BINOM.DIST(A4,Swap2x2!$B$10,Swap2x2!$B$46,FALSE),0)</f>
        <v/>
      </c>
      <c r="C4">
        <f>IF(AND(A4&lt;=Swap2x2!$B$10,B4&lt;=$D$2*(1+1E-7)),1,0)</f>
        <v/>
      </c>
    </row>
    <row r="5">
      <c r="A5" t="n">
        <v>3</v>
      </c>
      <c r="B5">
        <f>IF(A5&lt;=Swap2x2!$B$10,_xlfn.BINOM.DIST(A5,Swap2x2!$B$10,Swap2x2!$B$46,FALSE),0)</f>
        <v/>
      </c>
      <c r="C5">
        <f>IF(AND(A5&lt;=Swap2x2!$B$10,B5&lt;=$D$2*(1+1E-7)),1,0)</f>
        <v/>
      </c>
    </row>
    <row r="6">
      <c r="A6" t="n">
        <v>4</v>
      </c>
      <c r="B6">
        <f>IF(A6&lt;=Swap2x2!$B$10,_xlfn.BINOM.DIST(A6,Swap2x2!$B$10,Swap2x2!$B$46,FALSE),0)</f>
        <v/>
      </c>
      <c r="C6">
        <f>IF(AND(A6&lt;=Swap2x2!$B$10,B6&lt;=$D$2*(1+1E-7)),1,0)</f>
        <v/>
      </c>
    </row>
    <row r="7">
      <c r="A7" t="n">
        <v>5</v>
      </c>
      <c r="B7">
        <f>IF(A7&lt;=Swap2x2!$B$10,_xlfn.BINOM.DIST(A7,Swap2x2!$B$10,Swap2x2!$B$46,FALSE),0)</f>
        <v/>
      </c>
      <c r="C7">
        <f>IF(AND(A7&lt;=Swap2x2!$B$10,B7&lt;=$D$2*(1+1E-7)),1,0)</f>
        <v/>
      </c>
    </row>
    <row r="8">
      <c r="A8" t="n">
        <v>6</v>
      </c>
      <c r="B8">
        <f>IF(A8&lt;=Swap2x2!$B$10,_xlfn.BINOM.DIST(A8,Swap2x2!$B$10,Swap2x2!$B$46,FALSE),0)</f>
        <v/>
      </c>
      <c r="C8">
        <f>IF(AND(A8&lt;=Swap2x2!$B$10,B8&lt;=$D$2*(1+1E-7)),1,0)</f>
        <v/>
      </c>
    </row>
    <row r="9">
      <c r="A9" t="n">
        <v>7</v>
      </c>
      <c r="B9">
        <f>IF(A9&lt;=Swap2x2!$B$10,_xlfn.BINOM.DIST(A9,Swap2x2!$B$10,Swap2x2!$B$46,FALSE),0)</f>
        <v/>
      </c>
      <c r="C9">
        <f>IF(AND(A9&lt;=Swap2x2!$B$10,B9&lt;=$D$2*(1+1E-7)),1,0)</f>
        <v/>
      </c>
    </row>
    <row r="10">
      <c r="A10" t="n">
        <v>8</v>
      </c>
      <c r="B10">
        <f>IF(A10&lt;=Swap2x2!$B$10,_xlfn.BINOM.DIST(A10,Swap2x2!$B$10,Swap2x2!$B$46,FALSE),0)</f>
        <v/>
      </c>
      <c r="C10">
        <f>IF(AND(A10&lt;=Swap2x2!$B$10,B10&lt;=$D$2*(1+1E-7)),1,0)</f>
        <v/>
      </c>
    </row>
    <row r="11">
      <c r="A11" t="n">
        <v>9</v>
      </c>
      <c r="B11">
        <f>IF(A11&lt;=Swap2x2!$B$10,_xlfn.BINOM.DIST(A11,Swap2x2!$B$10,Swap2x2!$B$46,FALSE),0)</f>
        <v/>
      </c>
      <c r="C11">
        <f>IF(AND(A11&lt;=Swap2x2!$B$10,B11&lt;=$D$2*(1+1E-7)),1,0)</f>
        <v/>
      </c>
    </row>
    <row r="12">
      <c r="A12" t="n">
        <v>10</v>
      </c>
      <c r="B12">
        <f>IF(A12&lt;=Swap2x2!$B$10,_xlfn.BINOM.DIST(A12,Swap2x2!$B$10,Swap2x2!$B$46,FALSE),0)</f>
        <v/>
      </c>
      <c r="C12">
        <f>IF(AND(A12&lt;=Swap2x2!$B$10,B12&lt;=$D$2*(1+1E-7)),1,0)</f>
        <v/>
      </c>
    </row>
    <row r="13">
      <c r="A13" t="n">
        <v>11</v>
      </c>
      <c r="B13">
        <f>IF(A13&lt;=Swap2x2!$B$10,_xlfn.BINOM.DIST(A13,Swap2x2!$B$10,Swap2x2!$B$46,FALSE),0)</f>
        <v/>
      </c>
      <c r="C13">
        <f>IF(AND(A13&lt;=Swap2x2!$B$10,B13&lt;=$D$2*(1+1E-7)),1,0)</f>
        <v/>
      </c>
    </row>
    <row r="14">
      <c r="A14" t="n">
        <v>12</v>
      </c>
      <c r="B14">
        <f>IF(A14&lt;=Swap2x2!$B$10,_xlfn.BINOM.DIST(A14,Swap2x2!$B$10,Swap2x2!$B$46,FALSE),0)</f>
        <v/>
      </c>
      <c r="C14">
        <f>IF(AND(A14&lt;=Swap2x2!$B$10,B14&lt;=$D$2*(1+1E-7)),1,0)</f>
        <v/>
      </c>
    </row>
    <row r="15">
      <c r="A15" t="n">
        <v>13</v>
      </c>
      <c r="B15">
        <f>IF(A15&lt;=Swap2x2!$B$10,_xlfn.BINOM.DIST(A15,Swap2x2!$B$10,Swap2x2!$B$46,FALSE),0)</f>
        <v/>
      </c>
      <c r="C15">
        <f>IF(AND(A15&lt;=Swap2x2!$B$10,B15&lt;=$D$2*(1+1E-7)),1,0)</f>
        <v/>
      </c>
    </row>
    <row r="16">
      <c r="A16" t="n">
        <v>14</v>
      </c>
      <c r="B16">
        <f>IF(A16&lt;=Swap2x2!$B$10,_xlfn.BINOM.DIST(A16,Swap2x2!$B$10,Swap2x2!$B$46,FALSE),0)</f>
        <v/>
      </c>
      <c r="C16">
        <f>IF(AND(A16&lt;=Swap2x2!$B$10,B16&lt;=$D$2*(1+1E-7)),1,0)</f>
        <v/>
      </c>
    </row>
    <row r="17">
      <c r="A17" t="n">
        <v>15</v>
      </c>
      <c r="B17">
        <f>IF(A17&lt;=Swap2x2!$B$10,_xlfn.BINOM.DIST(A17,Swap2x2!$B$10,Swap2x2!$B$46,FALSE),0)</f>
        <v/>
      </c>
      <c r="C17">
        <f>IF(AND(A17&lt;=Swap2x2!$B$10,B17&lt;=$D$2*(1+1E-7)),1,0)</f>
        <v/>
      </c>
    </row>
    <row r="18">
      <c r="A18" t="n">
        <v>16</v>
      </c>
      <c r="B18">
        <f>IF(A18&lt;=Swap2x2!$B$10,_xlfn.BINOM.DIST(A18,Swap2x2!$B$10,Swap2x2!$B$46,FALSE),0)</f>
        <v/>
      </c>
      <c r="C18">
        <f>IF(AND(A18&lt;=Swap2x2!$B$10,B18&lt;=$D$2*(1+1E-7)),1,0)</f>
        <v/>
      </c>
    </row>
    <row r="19">
      <c r="A19" t="n">
        <v>17</v>
      </c>
      <c r="B19">
        <f>IF(A19&lt;=Swap2x2!$B$10,_xlfn.BINOM.DIST(A19,Swap2x2!$B$10,Swap2x2!$B$46,FALSE),0)</f>
        <v/>
      </c>
      <c r="C19">
        <f>IF(AND(A19&lt;=Swap2x2!$B$10,B19&lt;=$D$2*(1+1E-7)),1,0)</f>
        <v/>
      </c>
    </row>
    <row r="20">
      <c r="A20" t="n">
        <v>18</v>
      </c>
      <c r="B20">
        <f>IF(A20&lt;=Swap2x2!$B$10,_xlfn.BINOM.DIST(A20,Swap2x2!$B$10,Swap2x2!$B$46,FALSE),0)</f>
        <v/>
      </c>
      <c r="C20">
        <f>IF(AND(A20&lt;=Swap2x2!$B$10,B20&lt;=$D$2*(1+1E-7)),1,0)</f>
        <v/>
      </c>
    </row>
    <row r="21">
      <c r="A21" t="n">
        <v>19</v>
      </c>
      <c r="B21">
        <f>IF(A21&lt;=Swap2x2!$B$10,_xlfn.BINOM.DIST(A21,Swap2x2!$B$10,Swap2x2!$B$46,FALSE),0)</f>
        <v/>
      </c>
      <c r="C21">
        <f>IF(AND(A21&lt;=Swap2x2!$B$10,B21&lt;=$D$2*(1+1E-7)),1,0)</f>
        <v/>
      </c>
    </row>
    <row r="22">
      <c r="A22" t="n">
        <v>20</v>
      </c>
      <c r="B22">
        <f>IF(A22&lt;=Swap2x2!$B$10,_xlfn.BINOM.DIST(A22,Swap2x2!$B$10,Swap2x2!$B$46,FALSE),0)</f>
        <v/>
      </c>
      <c r="C22">
        <f>IF(AND(A22&lt;=Swap2x2!$B$10,B22&lt;=$D$2*(1+1E-7)),1,0)</f>
        <v/>
      </c>
    </row>
    <row r="23">
      <c r="A23" t="n">
        <v>21</v>
      </c>
      <c r="B23">
        <f>IF(A23&lt;=Swap2x2!$B$10,_xlfn.BINOM.DIST(A23,Swap2x2!$B$10,Swap2x2!$B$46,FALSE),0)</f>
        <v/>
      </c>
      <c r="C23">
        <f>IF(AND(A23&lt;=Swap2x2!$B$10,B23&lt;=$D$2*(1+1E-7)),1,0)</f>
        <v/>
      </c>
    </row>
    <row r="24">
      <c r="A24" t="n">
        <v>22</v>
      </c>
      <c r="B24">
        <f>IF(A24&lt;=Swap2x2!$B$10,_xlfn.BINOM.DIST(A24,Swap2x2!$B$10,Swap2x2!$B$46,FALSE),0)</f>
        <v/>
      </c>
      <c r="C24">
        <f>IF(AND(A24&lt;=Swap2x2!$B$10,B24&lt;=$D$2*(1+1E-7)),1,0)</f>
        <v/>
      </c>
    </row>
    <row r="25">
      <c r="A25" t="n">
        <v>23</v>
      </c>
      <c r="B25">
        <f>IF(A25&lt;=Swap2x2!$B$10,_xlfn.BINOM.DIST(A25,Swap2x2!$B$10,Swap2x2!$B$46,FALSE),0)</f>
        <v/>
      </c>
      <c r="C25">
        <f>IF(AND(A25&lt;=Swap2x2!$B$10,B25&lt;=$D$2*(1+1E-7)),1,0)</f>
        <v/>
      </c>
    </row>
    <row r="26">
      <c r="A26" t="n">
        <v>24</v>
      </c>
      <c r="B26">
        <f>IF(A26&lt;=Swap2x2!$B$10,_xlfn.BINOM.DIST(A26,Swap2x2!$B$10,Swap2x2!$B$46,FALSE),0)</f>
        <v/>
      </c>
      <c r="C26">
        <f>IF(AND(A26&lt;=Swap2x2!$B$10,B26&lt;=$D$2*(1+1E-7)),1,0)</f>
        <v/>
      </c>
    </row>
    <row r="27">
      <c r="A27" t="n">
        <v>25</v>
      </c>
      <c r="B27">
        <f>IF(A27&lt;=Swap2x2!$B$10,_xlfn.BINOM.DIST(A27,Swap2x2!$B$10,Swap2x2!$B$46,FALSE),0)</f>
        <v/>
      </c>
      <c r="C27">
        <f>IF(AND(A27&lt;=Swap2x2!$B$10,B27&lt;=$D$2*(1+1E-7)),1,0)</f>
        <v/>
      </c>
    </row>
    <row r="28">
      <c r="A28" t="n">
        <v>26</v>
      </c>
      <c r="B28">
        <f>IF(A28&lt;=Swap2x2!$B$10,_xlfn.BINOM.DIST(A28,Swap2x2!$B$10,Swap2x2!$B$46,FALSE),0)</f>
        <v/>
      </c>
      <c r="C28">
        <f>IF(AND(A28&lt;=Swap2x2!$B$10,B28&lt;=$D$2*(1+1E-7)),1,0)</f>
        <v/>
      </c>
    </row>
    <row r="29">
      <c r="A29" t="n">
        <v>27</v>
      </c>
      <c r="B29">
        <f>IF(A29&lt;=Swap2x2!$B$10,_xlfn.BINOM.DIST(A29,Swap2x2!$B$10,Swap2x2!$B$46,FALSE),0)</f>
        <v/>
      </c>
      <c r="C29">
        <f>IF(AND(A29&lt;=Swap2x2!$B$10,B29&lt;=$D$2*(1+1E-7)),1,0)</f>
        <v/>
      </c>
    </row>
    <row r="30">
      <c r="A30" t="n">
        <v>28</v>
      </c>
      <c r="B30">
        <f>IF(A30&lt;=Swap2x2!$B$10,_xlfn.BINOM.DIST(A30,Swap2x2!$B$10,Swap2x2!$B$46,FALSE),0)</f>
        <v/>
      </c>
      <c r="C30">
        <f>IF(AND(A30&lt;=Swap2x2!$B$10,B30&lt;=$D$2*(1+1E-7)),1,0)</f>
        <v/>
      </c>
    </row>
    <row r="31">
      <c r="A31" t="n">
        <v>29</v>
      </c>
      <c r="B31">
        <f>IF(A31&lt;=Swap2x2!$B$10,_xlfn.BINOM.DIST(A31,Swap2x2!$B$10,Swap2x2!$B$46,FALSE),0)</f>
        <v/>
      </c>
      <c r="C31">
        <f>IF(AND(A31&lt;=Swap2x2!$B$10,B31&lt;=$D$2*(1+1E-7)),1,0)</f>
        <v/>
      </c>
    </row>
    <row r="32">
      <c r="A32" t="n">
        <v>30</v>
      </c>
      <c r="B32">
        <f>IF(A32&lt;=Swap2x2!$B$10,_xlfn.BINOM.DIST(A32,Swap2x2!$B$10,Swap2x2!$B$46,FALSE),0)</f>
        <v/>
      </c>
      <c r="C32">
        <f>IF(AND(A32&lt;=Swap2x2!$B$10,B32&lt;=$D$2*(1+1E-7)),1,0)</f>
        <v/>
      </c>
    </row>
    <row r="33">
      <c r="A33" t="n">
        <v>31</v>
      </c>
      <c r="B33">
        <f>IF(A33&lt;=Swap2x2!$B$10,_xlfn.BINOM.DIST(A33,Swap2x2!$B$10,Swap2x2!$B$46,FALSE),0)</f>
        <v/>
      </c>
      <c r="C33">
        <f>IF(AND(A33&lt;=Swap2x2!$B$10,B33&lt;=$D$2*(1+1E-7)),1,0)</f>
        <v/>
      </c>
    </row>
    <row r="34">
      <c r="A34" t="n">
        <v>32</v>
      </c>
      <c r="B34">
        <f>IF(A34&lt;=Swap2x2!$B$10,_xlfn.BINOM.DIST(A34,Swap2x2!$B$10,Swap2x2!$B$46,FALSE),0)</f>
        <v/>
      </c>
      <c r="C34">
        <f>IF(AND(A34&lt;=Swap2x2!$B$10,B34&lt;=$D$2*(1+1E-7)),1,0)</f>
        <v/>
      </c>
    </row>
    <row r="35">
      <c r="A35" t="n">
        <v>33</v>
      </c>
      <c r="B35">
        <f>IF(A35&lt;=Swap2x2!$B$10,_xlfn.BINOM.DIST(A35,Swap2x2!$B$10,Swap2x2!$B$46,FALSE),0)</f>
        <v/>
      </c>
      <c r="C35">
        <f>IF(AND(A35&lt;=Swap2x2!$B$10,B35&lt;=$D$2*(1+1E-7)),1,0)</f>
        <v/>
      </c>
    </row>
    <row r="36">
      <c r="A36" t="n">
        <v>34</v>
      </c>
      <c r="B36">
        <f>IF(A36&lt;=Swap2x2!$B$10,_xlfn.BINOM.DIST(A36,Swap2x2!$B$10,Swap2x2!$B$46,FALSE),0)</f>
        <v/>
      </c>
      <c r="C36">
        <f>IF(AND(A36&lt;=Swap2x2!$B$10,B36&lt;=$D$2*(1+1E-7)),1,0)</f>
        <v/>
      </c>
    </row>
    <row r="37">
      <c r="A37" t="n">
        <v>35</v>
      </c>
      <c r="B37">
        <f>IF(A37&lt;=Swap2x2!$B$10,_xlfn.BINOM.DIST(A37,Swap2x2!$B$10,Swap2x2!$B$46,FALSE),0)</f>
        <v/>
      </c>
      <c r="C37">
        <f>IF(AND(A37&lt;=Swap2x2!$B$10,B37&lt;=$D$2*(1+1E-7)),1,0)</f>
        <v/>
      </c>
    </row>
    <row r="38">
      <c r="A38" t="n">
        <v>36</v>
      </c>
      <c r="B38">
        <f>IF(A38&lt;=Swap2x2!$B$10,_xlfn.BINOM.DIST(A38,Swap2x2!$B$10,Swap2x2!$B$46,FALSE),0)</f>
        <v/>
      </c>
      <c r="C38">
        <f>IF(AND(A38&lt;=Swap2x2!$B$10,B38&lt;=$D$2*(1+1E-7)),1,0)</f>
        <v/>
      </c>
    </row>
    <row r="39">
      <c r="A39" t="n">
        <v>37</v>
      </c>
      <c r="B39">
        <f>IF(A39&lt;=Swap2x2!$B$10,_xlfn.BINOM.DIST(A39,Swap2x2!$B$10,Swap2x2!$B$46,FALSE),0)</f>
        <v/>
      </c>
      <c r="C39">
        <f>IF(AND(A39&lt;=Swap2x2!$B$10,B39&lt;=$D$2*(1+1E-7)),1,0)</f>
        <v/>
      </c>
    </row>
    <row r="40">
      <c r="A40" t="n">
        <v>38</v>
      </c>
      <c r="B40">
        <f>IF(A40&lt;=Swap2x2!$B$10,_xlfn.BINOM.DIST(A40,Swap2x2!$B$10,Swap2x2!$B$46,FALSE),0)</f>
        <v/>
      </c>
      <c r="C40">
        <f>IF(AND(A40&lt;=Swap2x2!$B$10,B40&lt;=$D$2*(1+1E-7)),1,0)</f>
        <v/>
      </c>
    </row>
    <row r="41">
      <c r="A41" t="n">
        <v>39</v>
      </c>
      <c r="B41">
        <f>IF(A41&lt;=Swap2x2!$B$10,_xlfn.BINOM.DIST(A41,Swap2x2!$B$10,Swap2x2!$B$46,FALSE),0)</f>
        <v/>
      </c>
      <c r="C41">
        <f>IF(AND(A41&lt;=Swap2x2!$B$10,B41&lt;=$D$2*(1+1E-7)),1,0)</f>
        <v/>
      </c>
    </row>
    <row r="42">
      <c r="A42" t="n">
        <v>40</v>
      </c>
      <c r="B42">
        <f>IF(A42&lt;=Swap2x2!$B$10,_xlfn.BINOM.DIST(A42,Swap2x2!$B$10,Swap2x2!$B$46,FALSE),0)</f>
        <v/>
      </c>
      <c r="C42">
        <f>IF(AND(A42&lt;=Swap2x2!$B$10,B42&lt;=$D$2*(1+1E-7)),1,0)</f>
        <v/>
      </c>
    </row>
    <row r="43">
      <c r="A43" t="n">
        <v>41</v>
      </c>
      <c r="B43">
        <f>IF(A43&lt;=Swap2x2!$B$10,_xlfn.BINOM.DIST(A43,Swap2x2!$B$10,Swap2x2!$B$46,FALSE),0)</f>
        <v/>
      </c>
      <c r="C43">
        <f>IF(AND(A43&lt;=Swap2x2!$B$10,B43&lt;=$D$2*(1+1E-7)),1,0)</f>
        <v/>
      </c>
    </row>
    <row r="44">
      <c r="A44" t="n">
        <v>42</v>
      </c>
      <c r="B44">
        <f>IF(A44&lt;=Swap2x2!$B$10,_xlfn.BINOM.DIST(A44,Swap2x2!$B$10,Swap2x2!$B$46,FALSE),0)</f>
        <v/>
      </c>
      <c r="C44">
        <f>IF(AND(A44&lt;=Swap2x2!$B$10,B44&lt;=$D$2*(1+1E-7)),1,0)</f>
        <v/>
      </c>
    </row>
    <row r="45">
      <c r="A45" t="n">
        <v>43</v>
      </c>
      <c r="B45">
        <f>IF(A45&lt;=Swap2x2!$B$10,_xlfn.BINOM.DIST(A45,Swap2x2!$B$10,Swap2x2!$B$46,FALSE),0)</f>
        <v/>
      </c>
      <c r="C45">
        <f>IF(AND(A45&lt;=Swap2x2!$B$10,B45&lt;=$D$2*(1+1E-7)),1,0)</f>
        <v/>
      </c>
    </row>
    <row r="46">
      <c r="A46" t="n">
        <v>44</v>
      </c>
      <c r="B46">
        <f>IF(A46&lt;=Swap2x2!$B$10,_xlfn.BINOM.DIST(A46,Swap2x2!$B$10,Swap2x2!$B$46,FALSE),0)</f>
        <v/>
      </c>
      <c r="C46">
        <f>IF(AND(A46&lt;=Swap2x2!$B$10,B46&lt;=$D$2*(1+1E-7)),1,0)</f>
        <v/>
      </c>
    </row>
    <row r="47">
      <c r="A47" t="n">
        <v>45</v>
      </c>
      <c r="B47">
        <f>IF(A47&lt;=Swap2x2!$B$10,_xlfn.BINOM.DIST(A47,Swap2x2!$B$10,Swap2x2!$B$46,FALSE),0)</f>
        <v/>
      </c>
      <c r="C47">
        <f>IF(AND(A47&lt;=Swap2x2!$B$10,B47&lt;=$D$2*(1+1E-7)),1,0)</f>
        <v/>
      </c>
    </row>
    <row r="48">
      <c r="A48" t="n">
        <v>46</v>
      </c>
      <c r="B48">
        <f>IF(A48&lt;=Swap2x2!$B$10,_xlfn.BINOM.DIST(A48,Swap2x2!$B$10,Swap2x2!$B$46,FALSE),0)</f>
        <v/>
      </c>
      <c r="C48">
        <f>IF(AND(A48&lt;=Swap2x2!$B$10,B48&lt;=$D$2*(1+1E-7)),1,0)</f>
        <v/>
      </c>
    </row>
    <row r="49">
      <c r="A49" t="n">
        <v>47</v>
      </c>
      <c r="B49">
        <f>IF(A49&lt;=Swap2x2!$B$10,_xlfn.BINOM.DIST(A49,Swap2x2!$B$10,Swap2x2!$B$46,FALSE),0)</f>
        <v/>
      </c>
      <c r="C49">
        <f>IF(AND(A49&lt;=Swap2x2!$B$10,B49&lt;=$D$2*(1+1E-7)),1,0)</f>
        <v/>
      </c>
    </row>
    <row r="50">
      <c r="A50" t="n">
        <v>48</v>
      </c>
      <c r="B50">
        <f>IF(A50&lt;=Swap2x2!$B$10,_xlfn.BINOM.DIST(A50,Swap2x2!$B$10,Swap2x2!$B$46,FALSE),0)</f>
        <v/>
      </c>
      <c r="C50">
        <f>IF(AND(A50&lt;=Swap2x2!$B$10,B50&lt;=$D$2*(1+1E-7)),1,0)</f>
        <v/>
      </c>
    </row>
    <row r="51">
      <c r="A51" t="n">
        <v>49</v>
      </c>
      <c r="B51">
        <f>IF(A51&lt;=Swap2x2!$B$10,_xlfn.BINOM.DIST(A51,Swap2x2!$B$10,Swap2x2!$B$46,FALSE),0)</f>
        <v/>
      </c>
      <c r="C51">
        <f>IF(AND(A51&lt;=Swap2x2!$B$10,B51&lt;=$D$2*(1+1E-7)),1,0)</f>
        <v/>
      </c>
    </row>
    <row r="52">
      <c r="A52" t="n">
        <v>50</v>
      </c>
      <c r="B52">
        <f>IF(A52&lt;=Swap2x2!$B$10,_xlfn.BINOM.DIST(A52,Swap2x2!$B$10,Swap2x2!$B$46,FALSE),0)</f>
        <v/>
      </c>
      <c r="C52">
        <f>IF(AND(A52&lt;=Swap2x2!$B$10,B52&lt;=$D$2*(1+1E-7)),1,0)</f>
        <v/>
      </c>
    </row>
    <row r="53">
      <c r="A53" t="n">
        <v>51</v>
      </c>
      <c r="B53">
        <f>IF(A53&lt;=Swap2x2!$B$10,_xlfn.BINOM.DIST(A53,Swap2x2!$B$10,Swap2x2!$B$46,FALSE),0)</f>
        <v/>
      </c>
      <c r="C53">
        <f>IF(AND(A53&lt;=Swap2x2!$B$10,B53&lt;=$D$2*(1+1E-7)),1,0)</f>
        <v/>
      </c>
    </row>
    <row r="54">
      <c r="A54" t="n">
        <v>52</v>
      </c>
      <c r="B54">
        <f>IF(A54&lt;=Swap2x2!$B$10,_xlfn.BINOM.DIST(A54,Swap2x2!$B$10,Swap2x2!$B$46,FALSE),0)</f>
        <v/>
      </c>
      <c r="C54">
        <f>IF(AND(A54&lt;=Swap2x2!$B$10,B54&lt;=$D$2*(1+1E-7)),1,0)</f>
        <v/>
      </c>
    </row>
    <row r="55">
      <c r="A55" t="n">
        <v>53</v>
      </c>
      <c r="B55">
        <f>IF(A55&lt;=Swap2x2!$B$10,_xlfn.BINOM.DIST(A55,Swap2x2!$B$10,Swap2x2!$B$46,FALSE),0)</f>
        <v/>
      </c>
      <c r="C55">
        <f>IF(AND(A55&lt;=Swap2x2!$B$10,B55&lt;=$D$2*(1+1E-7)),1,0)</f>
        <v/>
      </c>
    </row>
    <row r="56">
      <c r="A56" t="n">
        <v>54</v>
      </c>
      <c r="B56">
        <f>IF(A56&lt;=Swap2x2!$B$10,_xlfn.BINOM.DIST(A56,Swap2x2!$B$10,Swap2x2!$B$46,FALSE),0)</f>
        <v/>
      </c>
      <c r="C56">
        <f>IF(AND(A56&lt;=Swap2x2!$B$10,B56&lt;=$D$2*(1+1E-7)),1,0)</f>
        <v/>
      </c>
    </row>
    <row r="57">
      <c r="A57" t="n">
        <v>55</v>
      </c>
      <c r="B57">
        <f>IF(A57&lt;=Swap2x2!$B$10,_xlfn.BINOM.DIST(A57,Swap2x2!$B$10,Swap2x2!$B$46,FALSE),0)</f>
        <v/>
      </c>
      <c r="C57">
        <f>IF(AND(A57&lt;=Swap2x2!$B$10,B57&lt;=$D$2*(1+1E-7)),1,0)</f>
        <v/>
      </c>
    </row>
    <row r="58">
      <c r="A58" t="n">
        <v>56</v>
      </c>
      <c r="B58">
        <f>IF(A58&lt;=Swap2x2!$B$10,_xlfn.BINOM.DIST(A58,Swap2x2!$B$10,Swap2x2!$B$46,FALSE),0)</f>
        <v/>
      </c>
      <c r="C58">
        <f>IF(AND(A58&lt;=Swap2x2!$B$10,B58&lt;=$D$2*(1+1E-7)),1,0)</f>
        <v/>
      </c>
    </row>
    <row r="59">
      <c r="A59" t="n">
        <v>57</v>
      </c>
      <c r="B59">
        <f>IF(A59&lt;=Swap2x2!$B$10,_xlfn.BINOM.DIST(A59,Swap2x2!$B$10,Swap2x2!$B$46,FALSE),0)</f>
        <v/>
      </c>
      <c r="C59">
        <f>IF(AND(A59&lt;=Swap2x2!$B$10,B59&lt;=$D$2*(1+1E-7)),1,0)</f>
        <v/>
      </c>
    </row>
    <row r="60">
      <c r="A60" t="n">
        <v>58</v>
      </c>
      <c r="B60">
        <f>IF(A60&lt;=Swap2x2!$B$10,_xlfn.BINOM.DIST(A60,Swap2x2!$B$10,Swap2x2!$B$46,FALSE),0)</f>
        <v/>
      </c>
      <c r="C60">
        <f>IF(AND(A60&lt;=Swap2x2!$B$10,B60&lt;=$D$2*(1+1E-7)),1,0)</f>
        <v/>
      </c>
    </row>
    <row r="61">
      <c r="A61" t="n">
        <v>59</v>
      </c>
      <c r="B61">
        <f>IF(A61&lt;=Swap2x2!$B$10,_xlfn.BINOM.DIST(A61,Swap2x2!$B$10,Swap2x2!$B$46,FALSE),0)</f>
        <v/>
      </c>
      <c r="C61">
        <f>IF(AND(A61&lt;=Swap2x2!$B$10,B61&lt;=$D$2*(1+1E-7)),1,0)</f>
        <v/>
      </c>
    </row>
    <row r="62">
      <c r="A62" t="n">
        <v>60</v>
      </c>
      <c r="B62">
        <f>IF(A62&lt;=Swap2x2!$B$10,_xlfn.BINOM.DIST(A62,Swap2x2!$B$10,Swap2x2!$B$46,FALSE),0)</f>
        <v/>
      </c>
      <c r="C62">
        <f>IF(AND(A62&lt;=Swap2x2!$B$10,B62&lt;=$D$2*(1+1E-7)),1,0)</f>
        <v/>
      </c>
    </row>
    <row r="63">
      <c r="A63" t="n">
        <v>61</v>
      </c>
      <c r="B63">
        <f>IF(A63&lt;=Swap2x2!$B$10,_xlfn.BINOM.DIST(A63,Swap2x2!$B$10,Swap2x2!$B$46,FALSE),0)</f>
        <v/>
      </c>
      <c r="C63">
        <f>IF(AND(A63&lt;=Swap2x2!$B$10,B63&lt;=$D$2*(1+1E-7)),1,0)</f>
        <v/>
      </c>
    </row>
    <row r="64">
      <c r="A64" t="n">
        <v>62</v>
      </c>
      <c r="B64">
        <f>IF(A64&lt;=Swap2x2!$B$10,_xlfn.BINOM.DIST(A64,Swap2x2!$B$10,Swap2x2!$B$46,FALSE),0)</f>
        <v/>
      </c>
      <c r="C64">
        <f>IF(AND(A64&lt;=Swap2x2!$B$10,B64&lt;=$D$2*(1+1E-7)),1,0)</f>
        <v/>
      </c>
    </row>
    <row r="65">
      <c r="A65" t="n">
        <v>63</v>
      </c>
      <c r="B65">
        <f>IF(A65&lt;=Swap2x2!$B$10,_xlfn.BINOM.DIST(A65,Swap2x2!$B$10,Swap2x2!$B$46,FALSE),0)</f>
        <v/>
      </c>
      <c r="C65">
        <f>IF(AND(A65&lt;=Swap2x2!$B$10,B65&lt;=$D$2*(1+1E-7)),1,0)</f>
        <v/>
      </c>
    </row>
    <row r="66">
      <c r="A66" t="n">
        <v>64</v>
      </c>
      <c r="B66">
        <f>IF(A66&lt;=Swap2x2!$B$10,_xlfn.BINOM.DIST(A66,Swap2x2!$B$10,Swap2x2!$B$46,FALSE),0)</f>
        <v/>
      </c>
      <c r="C66">
        <f>IF(AND(A66&lt;=Swap2x2!$B$10,B66&lt;=$D$2*(1+1E-7)),1,0)</f>
        <v/>
      </c>
    </row>
    <row r="67">
      <c r="A67" t="n">
        <v>65</v>
      </c>
      <c r="B67">
        <f>IF(A67&lt;=Swap2x2!$B$10,_xlfn.BINOM.DIST(A67,Swap2x2!$B$10,Swap2x2!$B$46,FALSE),0)</f>
        <v/>
      </c>
      <c r="C67">
        <f>IF(AND(A67&lt;=Swap2x2!$B$10,B67&lt;=$D$2*(1+1E-7)),1,0)</f>
        <v/>
      </c>
    </row>
    <row r="68">
      <c r="A68" t="n">
        <v>66</v>
      </c>
      <c r="B68">
        <f>IF(A68&lt;=Swap2x2!$B$10,_xlfn.BINOM.DIST(A68,Swap2x2!$B$10,Swap2x2!$B$46,FALSE),0)</f>
        <v/>
      </c>
      <c r="C68">
        <f>IF(AND(A68&lt;=Swap2x2!$B$10,B68&lt;=$D$2*(1+1E-7)),1,0)</f>
        <v/>
      </c>
    </row>
    <row r="69">
      <c r="A69" t="n">
        <v>67</v>
      </c>
      <c r="B69">
        <f>IF(A69&lt;=Swap2x2!$B$10,_xlfn.BINOM.DIST(A69,Swap2x2!$B$10,Swap2x2!$B$46,FALSE),0)</f>
        <v/>
      </c>
      <c r="C69">
        <f>IF(AND(A69&lt;=Swap2x2!$B$10,B69&lt;=$D$2*(1+1E-7)),1,0)</f>
        <v/>
      </c>
    </row>
    <row r="70">
      <c r="A70" t="n">
        <v>68</v>
      </c>
      <c r="B70">
        <f>IF(A70&lt;=Swap2x2!$B$10,_xlfn.BINOM.DIST(A70,Swap2x2!$B$10,Swap2x2!$B$46,FALSE),0)</f>
        <v/>
      </c>
      <c r="C70">
        <f>IF(AND(A70&lt;=Swap2x2!$B$10,B70&lt;=$D$2*(1+1E-7)),1,0)</f>
        <v/>
      </c>
    </row>
    <row r="71">
      <c r="A71" t="n">
        <v>69</v>
      </c>
      <c r="B71">
        <f>IF(A71&lt;=Swap2x2!$B$10,_xlfn.BINOM.DIST(A71,Swap2x2!$B$10,Swap2x2!$B$46,FALSE),0)</f>
        <v/>
      </c>
      <c r="C71">
        <f>IF(AND(A71&lt;=Swap2x2!$B$10,B71&lt;=$D$2*(1+1E-7)),1,0)</f>
        <v/>
      </c>
    </row>
    <row r="72">
      <c r="A72" t="n">
        <v>70</v>
      </c>
      <c r="B72">
        <f>IF(A72&lt;=Swap2x2!$B$10,_xlfn.BINOM.DIST(A72,Swap2x2!$B$10,Swap2x2!$B$46,FALSE),0)</f>
        <v/>
      </c>
      <c r="C72">
        <f>IF(AND(A72&lt;=Swap2x2!$B$10,B72&lt;=$D$2*(1+1E-7)),1,0)</f>
        <v/>
      </c>
    </row>
    <row r="73">
      <c r="A73" t="n">
        <v>71</v>
      </c>
      <c r="B73">
        <f>IF(A73&lt;=Swap2x2!$B$10,_xlfn.BINOM.DIST(A73,Swap2x2!$B$10,Swap2x2!$B$46,FALSE),0)</f>
        <v/>
      </c>
      <c r="C73">
        <f>IF(AND(A73&lt;=Swap2x2!$B$10,B73&lt;=$D$2*(1+1E-7)),1,0)</f>
        <v/>
      </c>
    </row>
    <row r="74">
      <c r="A74" t="n">
        <v>72</v>
      </c>
      <c r="B74">
        <f>IF(A74&lt;=Swap2x2!$B$10,_xlfn.BINOM.DIST(A74,Swap2x2!$B$10,Swap2x2!$B$46,FALSE),0)</f>
        <v/>
      </c>
      <c r="C74">
        <f>IF(AND(A74&lt;=Swap2x2!$B$10,B74&lt;=$D$2*(1+1E-7)),1,0)</f>
        <v/>
      </c>
    </row>
    <row r="75">
      <c r="A75" t="n">
        <v>73</v>
      </c>
      <c r="B75">
        <f>IF(A75&lt;=Swap2x2!$B$10,_xlfn.BINOM.DIST(A75,Swap2x2!$B$10,Swap2x2!$B$46,FALSE),0)</f>
        <v/>
      </c>
      <c r="C75">
        <f>IF(AND(A75&lt;=Swap2x2!$B$10,B75&lt;=$D$2*(1+1E-7)),1,0)</f>
        <v/>
      </c>
    </row>
    <row r="76">
      <c r="A76" t="n">
        <v>74</v>
      </c>
      <c r="B76">
        <f>IF(A76&lt;=Swap2x2!$B$10,_xlfn.BINOM.DIST(A76,Swap2x2!$B$10,Swap2x2!$B$46,FALSE),0)</f>
        <v/>
      </c>
      <c r="C76">
        <f>IF(AND(A76&lt;=Swap2x2!$B$10,B76&lt;=$D$2*(1+1E-7)),1,0)</f>
        <v/>
      </c>
    </row>
    <row r="77">
      <c r="A77" t="n">
        <v>75</v>
      </c>
      <c r="B77">
        <f>IF(A77&lt;=Swap2x2!$B$10,_xlfn.BINOM.DIST(A77,Swap2x2!$B$10,Swap2x2!$B$46,FALSE),0)</f>
        <v/>
      </c>
      <c r="C77">
        <f>IF(AND(A77&lt;=Swap2x2!$B$10,B77&lt;=$D$2*(1+1E-7)),1,0)</f>
        <v/>
      </c>
    </row>
    <row r="78">
      <c r="A78" t="n">
        <v>76</v>
      </c>
      <c r="B78">
        <f>IF(A78&lt;=Swap2x2!$B$10,_xlfn.BINOM.DIST(A78,Swap2x2!$B$10,Swap2x2!$B$46,FALSE),0)</f>
        <v/>
      </c>
      <c r="C78">
        <f>IF(AND(A78&lt;=Swap2x2!$B$10,B78&lt;=$D$2*(1+1E-7)),1,0)</f>
        <v/>
      </c>
    </row>
    <row r="79">
      <c r="A79" t="n">
        <v>77</v>
      </c>
      <c r="B79">
        <f>IF(A79&lt;=Swap2x2!$B$10,_xlfn.BINOM.DIST(A79,Swap2x2!$B$10,Swap2x2!$B$46,FALSE),0)</f>
        <v/>
      </c>
      <c r="C79">
        <f>IF(AND(A79&lt;=Swap2x2!$B$10,B79&lt;=$D$2*(1+1E-7)),1,0)</f>
        <v/>
      </c>
    </row>
    <row r="80">
      <c r="A80" t="n">
        <v>78</v>
      </c>
      <c r="B80">
        <f>IF(A80&lt;=Swap2x2!$B$10,_xlfn.BINOM.DIST(A80,Swap2x2!$B$10,Swap2x2!$B$46,FALSE),0)</f>
        <v/>
      </c>
      <c r="C80">
        <f>IF(AND(A80&lt;=Swap2x2!$B$10,B80&lt;=$D$2*(1+1E-7)),1,0)</f>
        <v/>
      </c>
    </row>
    <row r="81">
      <c r="A81" t="n">
        <v>79</v>
      </c>
      <c r="B81">
        <f>IF(A81&lt;=Swap2x2!$B$10,_xlfn.BINOM.DIST(A81,Swap2x2!$B$10,Swap2x2!$B$46,FALSE),0)</f>
        <v/>
      </c>
      <c r="C81">
        <f>IF(AND(A81&lt;=Swap2x2!$B$10,B81&lt;=$D$2*(1+1E-7)),1,0)</f>
        <v/>
      </c>
    </row>
    <row r="82">
      <c r="A82" t="n">
        <v>80</v>
      </c>
      <c r="B82">
        <f>IF(A82&lt;=Swap2x2!$B$10,_xlfn.BINOM.DIST(A82,Swap2x2!$B$10,Swap2x2!$B$46,FALSE),0)</f>
        <v/>
      </c>
      <c r="C82">
        <f>IF(AND(A82&lt;=Swap2x2!$B$10,B82&lt;=$D$2*(1+1E-7)),1,0)</f>
        <v/>
      </c>
    </row>
    <row r="83">
      <c r="A83" t="n">
        <v>81</v>
      </c>
      <c r="B83">
        <f>IF(A83&lt;=Swap2x2!$B$10,_xlfn.BINOM.DIST(A83,Swap2x2!$B$10,Swap2x2!$B$46,FALSE),0)</f>
        <v/>
      </c>
      <c r="C83">
        <f>IF(AND(A83&lt;=Swap2x2!$B$10,B83&lt;=$D$2*(1+1E-7)),1,0)</f>
        <v/>
      </c>
    </row>
    <row r="84">
      <c r="A84" t="n">
        <v>82</v>
      </c>
      <c r="B84">
        <f>IF(A84&lt;=Swap2x2!$B$10,_xlfn.BINOM.DIST(A84,Swap2x2!$B$10,Swap2x2!$B$46,FALSE),0)</f>
        <v/>
      </c>
      <c r="C84">
        <f>IF(AND(A84&lt;=Swap2x2!$B$10,B84&lt;=$D$2*(1+1E-7)),1,0)</f>
        <v/>
      </c>
    </row>
    <row r="85">
      <c r="A85" t="n">
        <v>83</v>
      </c>
      <c r="B85">
        <f>IF(A85&lt;=Swap2x2!$B$10,_xlfn.BINOM.DIST(A85,Swap2x2!$B$10,Swap2x2!$B$46,FALSE),0)</f>
        <v/>
      </c>
      <c r="C85">
        <f>IF(AND(A85&lt;=Swap2x2!$B$10,B85&lt;=$D$2*(1+1E-7)),1,0)</f>
        <v/>
      </c>
    </row>
    <row r="86">
      <c r="A86" t="n">
        <v>84</v>
      </c>
      <c r="B86">
        <f>IF(A86&lt;=Swap2x2!$B$10,_xlfn.BINOM.DIST(A86,Swap2x2!$B$10,Swap2x2!$B$46,FALSE),0)</f>
        <v/>
      </c>
      <c r="C86">
        <f>IF(AND(A86&lt;=Swap2x2!$B$10,B86&lt;=$D$2*(1+1E-7)),1,0)</f>
        <v/>
      </c>
    </row>
    <row r="87">
      <c r="A87" t="n">
        <v>85</v>
      </c>
      <c r="B87">
        <f>IF(A87&lt;=Swap2x2!$B$10,_xlfn.BINOM.DIST(A87,Swap2x2!$B$10,Swap2x2!$B$46,FALSE),0)</f>
        <v/>
      </c>
      <c r="C87">
        <f>IF(AND(A87&lt;=Swap2x2!$B$10,B87&lt;=$D$2*(1+1E-7)),1,0)</f>
        <v/>
      </c>
    </row>
    <row r="88">
      <c r="A88" t="n">
        <v>86</v>
      </c>
      <c r="B88">
        <f>IF(A88&lt;=Swap2x2!$B$10,_xlfn.BINOM.DIST(A88,Swap2x2!$B$10,Swap2x2!$B$46,FALSE),0)</f>
        <v/>
      </c>
      <c r="C88">
        <f>IF(AND(A88&lt;=Swap2x2!$B$10,B88&lt;=$D$2*(1+1E-7)),1,0)</f>
        <v/>
      </c>
    </row>
    <row r="89">
      <c r="A89" t="n">
        <v>87</v>
      </c>
      <c r="B89">
        <f>IF(A89&lt;=Swap2x2!$B$10,_xlfn.BINOM.DIST(A89,Swap2x2!$B$10,Swap2x2!$B$46,FALSE),0)</f>
        <v/>
      </c>
      <c r="C89">
        <f>IF(AND(A89&lt;=Swap2x2!$B$10,B89&lt;=$D$2*(1+1E-7)),1,0)</f>
        <v/>
      </c>
    </row>
    <row r="90">
      <c r="A90" t="n">
        <v>88</v>
      </c>
      <c r="B90">
        <f>IF(A90&lt;=Swap2x2!$B$10,_xlfn.BINOM.DIST(A90,Swap2x2!$B$10,Swap2x2!$B$46,FALSE),0)</f>
        <v/>
      </c>
      <c r="C90">
        <f>IF(AND(A90&lt;=Swap2x2!$B$10,B90&lt;=$D$2*(1+1E-7)),1,0)</f>
        <v/>
      </c>
    </row>
    <row r="91">
      <c r="A91" t="n">
        <v>89</v>
      </c>
      <c r="B91">
        <f>IF(A91&lt;=Swap2x2!$B$10,_xlfn.BINOM.DIST(A91,Swap2x2!$B$10,Swap2x2!$B$46,FALSE),0)</f>
        <v/>
      </c>
      <c r="C91">
        <f>IF(AND(A91&lt;=Swap2x2!$B$10,B91&lt;=$D$2*(1+1E-7)),1,0)</f>
        <v/>
      </c>
    </row>
    <row r="92">
      <c r="A92" t="n">
        <v>90</v>
      </c>
      <c r="B92">
        <f>IF(A92&lt;=Swap2x2!$B$10,_xlfn.BINOM.DIST(A92,Swap2x2!$B$10,Swap2x2!$B$46,FALSE),0)</f>
        <v/>
      </c>
      <c r="C92">
        <f>IF(AND(A92&lt;=Swap2x2!$B$10,B92&lt;=$D$2*(1+1E-7)),1,0)</f>
        <v/>
      </c>
    </row>
    <row r="93">
      <c r="A93" t="n">
        <v>91</v>
      </c>
      <c r="B93">
        <f>IF(A93&lt;=Swap2x2!$B$10,_xlfn.BINOM.DIST(A93,Swap2x2!$B$10,Swap2x2!$B$46,FALSE),0)</f>
        <v/>
      </c>
      <c r="C93">
        <f>IF(AND(A93&lt;=Swap2x2!$B$10,B93&lt;=$D$2*(1+1E-7)),1,0)</f>
        <v/>
      </c>
    </row>
    <row r="94">
      <c r="A94" t="n">
        <v>92</v>
      </c>
      <c r="B94">
        <f>IF(A94&lt;=Swap2x2!$B$10,_xlfn.BINOM.DIST(A94,Swap2x2!$B$10,Swap2x2!$B$46,FALSE),0)</f>
        <v/>
      </c>
      <c r="C94">
        <f>IF(AND(A94&lt;=Swap2x2!$B$10,B94&lt;=$D$2*(1+1E-7)),1,0)</f>
        <v/>
      </c>
    </row>
    <row r="95">
      <c r="A95" t="n">
        <v>93</v>
      </c>
      <c r="B95">
        <f>IF(A95&lt;=Swap2x2!$B$10,_xlfn.BINOM.DIST(A95,Swap2x2!$B$10,Swap2x2!$B$46,FALSE),0)</f>
        <v/>
      </c>
      <c r="C95">
        <f>IF(AND(A95&lt;=Swap2x2!$B$10,B95&lt;=$D$2*(1+1E-7)),1,0)</f>
        <v/>
      </c>
    </row>
    <row r="96">
      <c r="A96" t="n">
        <v>94</v>
      </c>
      <c r="B96">
        <f>IF(A96&lt;=Swap2x2!$B$10,_xlfn.BINOM.DIST(A96,Swap2x2!$B$10,Swap2x2!$B$46,FALSE),0)</f>
        <v/>
      </c>
      <c r="C96">
        <f>IF(AND(A96&lt;=Swap2x2!$B$10,B96&lt;=$D$2*(1+1E-7)),1,0)</f>
        <v/>
      </c>
    </row>
    <row r="97">
      <c r="A97" t="n">
        <v>95</v>
      </c>
      <c r="B97">
        <f>IF(A97&lt;=Swap2x2!$B$10,_xlfn.BINOM.DIST(A97,Swap2x2!$B$10,Swap2x2!$B$46,FALSE),0)</f>
        <v/>
      </c>
      <c r="C97">
        <f>IF(AND(A97&lt;=Swap2x2!$B$10,B97&lt;=$D$2*(1+1E-7)),1,0)</f>
        <v/>
      </c>
    </row>
    <row r="98">
      <c r="A98" t="n">
        <v>96</v>
      </c>
      <c r="B98">
        <f>IF(A98&lt;=Swap2x2!$B$10,_xlfn.BINOM.DIST(A98,Swap2x2!$B$10,Swap2x2!$B$46,FALSE),0)</f>
        <v/>
      </c>
      <c r="C98">
        <f>IF(AND(A98&lt;=Swap2x2!$B$10,B98&lt;=$D$2*(1+1E-7)),1,0)</f>
        <v/>
      </c>
    </row>
    <row r="99">
      <c r="A99" t="n">
        <v>97</v>
      </c>
      <c r="B99">
        <f>IF(A99&lt;=Swap2x2!$B$10,_xlfn.BINOM.DIST(A99,Swap2x2!$B$10,Swap2x2!$B$46,FALSE),0)</f>
        <v/>
      </c>
      <c r="C99">
        <f>IF(AND(A99&lt;=Swap2x2!$B$10,B99&lt;=$D$2*(1+1E-7)),1,0)</f>
        <v/>
      </c>
    </row>
    <row r="100">
      <c r="A100" t="n">
        <v>98</v>
      </c>
      <c r="B100">
        <f>IF(A100&lt;=Swap2x2!$B$10,_xlfn.BINOM.DIST(A100,Swap2x2!$B$10,Swap2x2!$B$46,FALSE),0)</f>
        <v/>
      </c>
      <c r="C100">
        <f>IF(AND(A100&lt;=Swap2x2!$B$10,B100&lt;=$D$2*(1+1E-7)),1,0)</f>
        <v/>
      </c>
    </row>
    <row r="101">
      <c r="A101" t="n">
        <v>99</v>
      </c>
      <c r="B101">
        <f>IF(A101&lt;=Swap2x2!$B$10,_xlfn.BINOM.DIST(A101,Swap2x2!$B$10,Swap2x2!$B$46,FALSE),0)</f>
        <v/>
      </c>
      <c r="C101">
        <f>IF(AND(A101&lt;=Swap2x2!$B$10,B101&lt;=$D$2*(1+1E-7)),1,0)</f>
        <v/>
      </c>
    </row>
    <row r="102">
      <c r="A102" t="n">
        <v>100</v>
      </c>
      <c r="B102">
        <f>IF(A102&lt;=Swap2x2!$B$10,_xlfn.BINOM.DIST(A102,Swap2x2!$B$10,Swap2x2!$B$46,FALSE),0)</f>
        <v/>
      </c>
      <c r="C102">
        <f>IF(AND(A102&lt;=Swap2x2!$B$10,B102&lt;=$D$2*(1+1E-7)),1,0)</f>
        <v/>
      </c>
    </row>
    <row r="103">
      <c r="A103" t="n">
        <v>101</v>
      </c>
      <c r="B103">
        <f>IF(A103&lt;=Swap2x2!$B$10,_xlfn.BINOM.DIST(A103,Swap2x2!$B$10,Swap2x2!$B$46,FALSE),0)</f>
        <v/>
      </c>
      <c r="C103">
        <f>IF(AND(A103&lt;=Swap2x2!$B$10,B103&lt;=$D$2*(1+1E-7)),1,0)</f>
        <v/>
      </c>
    </row>
    <row r="104">
      <c r="A104" t="n">
        <v>102</v>
      </c>
      <c r="B104">
        <f>IF(A104&lt;=Swap2x2!$B$10,_xlfn.BINOM.DIST(A104,Swap2x2!$B$10,Swap2x2!$B$46,FALSE),0)</f>
        <v/>
      </c>
      <c r="C104">
        <f>IF(AND(A104&lt;=Swap2x2!$B$10,B104&lt;=$D$2*(1+1E-7)),1,0)</f>
        <v/>
      </c>
    </row>
    <row r="105">
      <c r="A105" t="n">
        <v>103</v>
      </c>
      <c r="B105">
        <f>IF(A105&lt;=Swap2x2!$B$10,_xlfn.BINOM.DIST(A105,Swap2x2!$B$10,Swap2x2!$B$46,FALSE),0)</f>
        <v/>
      </c>
      <c r="C105">
        <f>IF(AND(A105&lt;=Swap2x2!$B$10,B105&lt;=$D$2*(1+1E-7)),1,0)</f>
        <v/>
      </c>
    </row>
    <row r="106">
      <c r="A106" t="n">
        <v>104</v>
      </c>
      <c r="B106">
        <f>IF(A106&lt;=Swap2x2!$B$10,_xlfn.BINOM.DIST(A106,Swap2x2!$B$10,Swap2x2!$B$46,FALSE),0)</f>
        <v/>
      </c>
      <c r="C106">
        <f>IF(AND(A106&lt;=Swap2x2!$B$10,B106&lt;=$D$2*(1+1E-7)),1,0)</f>
        <v/>
      </c>
    </row>
    <row r="107">
      <c r="A107" t="n">
        <v>105</v>
      </c>
      <c r="B107">
        <f>IF(A107&lt;=Swap2x2!$B$10,_xlfn.BINOM.DIST(A107,Swap2x2!$B$10,Swap2x2!$B$46,FALSE),0)</f>
        <v/>
      </c>
      <c r="C107">
        <f>IF(AND(A107&lt;=Swap2x2!$B$10,B107&lt;=$D$2*(1+1E-7)),1,0)</f>
        <v/>
      </c>
    </row>
    <row r="108">
      <c r="A108" t="n">
        <v>106</v>
      </c>
      <c r="B108">
        <f>IF(A108&lt;=Swap2x2!$B$10,_xlfn.BINOM.DIST(A108,Swap2x2!$B$10,Swap2x2!$B$46,FALSE),0)</f>
        <v/>
      </c>
      <c r="C108">
        <f>IF(AND(A108&lt;=Swap2x2!$B$10,B108&lt;=$D$2*(1+1E-7)),1,0)</f>
        <v/>
      </c>
    </row>
    <row r="109">
      <c r="A109" t="n">
        <v>107</v>
      </c>
      <c r="B109">
        <f>IF(A109&lt;=Swap2x2!$B$10,_xlfn.BINOM.DIST(A109,Swap2x2!$B$10,Swap2x2!$B$46,FALSE),0)</f>
        <v/>
      </c>
      <c r="C109">
        <f>IF(AND(A109&lt;=Swap2x2!$B$10,B109&lt;=$D$2*(1+1E-7)),1,0)</f>
        <v/>
      </c>
    </row>
    <row r="110">
      <c r="A110" t="n">
        <v>108</v>
      </c>
      <c r="B110">
        <f>IF(A110&lt;=Swap2x2!$B$10,_xlfn.BINOM.DIST(A110,Swap2x2!$B$10,Swap2x2!$B$46,FALSE),0)</f>
        <v/>
      </c>
      <c r="C110">
        <f>IF(AND(A110&lt;=Swap2x2!$B$10,B110&lt;=$D$2*(1+1E-7)),1,0)</f>
        <v/>
      </c>
    </row>
    <row r="111">
      <c r="A111" t="n">
        <v>109</v>
      </c>
      <c r="B111">
        <f>IF(A111&lt;=Swap2x2!$B$10,_xlfn.BINOM.DIST(A111,Swap2x2!$B$10,Swap2x2!$B$46,FALSE),0)</f>
        <v/>
      </c>
      <c r="C111">
        <f>IF(AND(A111&lt;=Swap2x2!$B$10,B111&lt;=$D$2*(1+1E-7)),1,0)</f>
        <v/>
      </c>
    </row>
    <row r="112">
      <c r="A112" t="n">
        <v>110</v>
      </c>
      <c r="B112">
        <f>IF(A112&lt;=Swap2x2!$B$10,_xlfn.BINOM.DIST(A112,Swap2x2!$B$10,Swap2x2!$B$46,FALSE),0)</f>
        <v/>
      </c>
      <c r="C112">
        <f>IF(AND(A112&lt;=Swap2x2!$B$10,B112&lt;=$D$2*(1+1E-7)),1,0)</f>
        <v/>
      </c>
    </row>
    <row r="113">
      <c r="A113" t="n">
        <v>111</v>
      </c>
      <c r="B113">
        <f>IF(A113&lt;=Swap2x2!$B$10,_xlfn.BINOM.DIST(A113,Swap2x2!$B$10,Swap2x2!$B$46,FALSE),0)</f>
        <v/>
      </c>
      <c r="C113">
        <f>IF(AND(A113&lt;=Swap2x2!$B$10,B113&lt;=$D$2*(1+1E-7)),1,0)</f>
        <v/>
      </c>
    </row>
    <row r="114">
      <c r="A114" t="n">
        <v>112</v>
      </c>
      <c r="B114">
        <f>IF(A114&lt;=Swap2x2!$B$10,_xlfn.BINOM.DIST(A114,Swap2x2!$B$10,Swap2x2!$B$46,FALSE),0)</f>
        <v/>
      </c>
      <c r="C114">
        <f>IF(AND(A114&lt;=Swap2x2!$B$10,B114&lt;=$D$2*(1+1E-7)),1,0)</f>
        <v/>
      </c>
    </row>
    <row r="115">
      <c r="A115" t="n">
        <v>113</v>
      </c>
      <c r="B115">
        <f>IF(A115&lt;=Swap2x2!$B$10,_xlfn.BINOM.DIST(A115,Swap2x2!$B$10,Swap2x2!$B$46,FALSE),0)</f>
        <v/>
      </c>
      <c r="C115">
        <f>IF(AND(A115&lt;=Swap2x2!$B$10,B115&lt;=$D$2*(1+1E-7)),1,0)</f>
        <v/>
      </c>
    </row>
    <row r="116">
      <c r="A116" t="n">
        <v>114</v>
      </c>
      <c r="B116">
        <f>IF(A116&lt;=Swap2x2!$B$10,_xlfn.BINOM.DIST(A116,Swap2x2!$B$10,Swap2x2!$B$46,FALSE),0)</f>
        <v/>
      </c>
      <c r="C116">
        <f>IF(AND(A116&lt;=Swap2x2!$B$10,B116&lt;=$D$2*(1+1E-7)),1,0)</f>
        <v/>
      </c>
    </row>
    <row r="117">
      <c r="A117" t="n">
        <v>115</v>
      </c>
      <c r="B117">
        <f>IF(A117&lt;=Swap2x2!$B$10,_xlfn.BINOM.DIST(A117,Swap2x2!$B$10,Swap2x2!$B$46,FALSE),0)</f>
        <v/>
      </c>
      <c r="C117">
        <f>IF(AND(A117&lt;=Swap2x2!$B$10,B117&lt;=$D$2*(1+1E-7)),1,0)</f>
        <v/>
      </c>
    </row>
    <row r="118">
      <c r="A118" t="n">
        <v>116</v>
      </c>
      <c r="B118">
        <f>IF(A118&lt;=Swap2x2!$B$10,_xlfn.BINOM.DIST(A118,Swap2x2!$B$10,Swap2x2!$B$46,FALSE),0)</f>
        <v/>
      </c>
      <c r="C118">
        <f>IF(AND(A118&lt;=Swap2x2!$B$10,B118&lt;=$D$2*(1+1E-7)),1,0)</f>
        <v/>
      </c>
    </row>
    <row r="119">
      <c r="A119" t="n">
        <v>117</v>
      </c>
      <c r="B119">
        <f>IF(A119&lt;=Swap2x2!$B$10,_xlfn.BINOM.DIST(A119,Swap2x2!$B$10,Swap2x2!$B$46,FALSE),0)</f>
        <v/>
      </c>
      <c r="C119">
        <f>IF(AND(A119&lt;=Swap2x2!$B$10,B119&lt;=$D$2*(1+1E-7)),1,0)</f>
        <v/>
      </c>
    </row>
    <row r="120">
      <c r="A120" t="n">
        <v>118</v>
      </c>
      <c r="B120">
        <f>IF(A120&lt;=Swap2x2!$B$10,_xlfn.BINOM.DIST(A120,Swap2x2!$B$10,Swap2x2!$B$46,FALSE),0)</f>
        <v/>
      </c>
      <c r="C120">
        <f>IF(AND(A120&lt;=Swap2x2!$B$10,B120&lt;=$D$2*(1+1E-7)),1,0)</f>
        <v/>
      </c>
    </row>
    <row r="121">
      <c r="A121" t="n">
        <v>119</v>
      </c>
      <c r="B121">
        <f>IF(A121&lt;=Swap2x2!$B$10,_xlfn.BINOM.DIST(A121,Swap2x2!$B$10,Swap2x2!$B$46,FALSE),0)</f>
        <v/>
      </c>
      <c r="C121">
        <f>IF(AND(A121&lt;=Swap2x2!$B$10,B121&lt;=$D$2*(1+1E-7)),1,0)</f>
        <v/>
      </c>
    </row>
    <row r="122">
      <c r="A122" t="n">
        <v>120</v>
      </c>
      <c r="B122">
        <f>IF(A122&lt;=Swap2x2!$B$10,_xlfn.BINOM.DIST(A122,Swap2x2!$B$10,Swap2x2!$B$46,FALSE),0)</f>
        <v/>
      </c>
      <c r="C122">
        <f>IF(AND(A122&lt;=Swap2x2!$B$10,B122&lt;=$D$2*(1+1E-7)),1,0)</f>
        <v/>
      </c>
    </row>
    <row r="123">
      <c r="A123" t="n">
        <v>121</v>
      </c>
      <c r="B123">
        <f>IF(A123&lt;=Swap2x2!$B$10,_xlfn.BINOM.DIST(A123,Swap2x2!$B$10,Swap2x2!$B$46,FALSE),0)</f>
        <v/>
      </c>
      <c r="C123">
        <f>IF(AND(A123&lt;=Swap2x2!$B$10,B123&lt;=$D$2*(1+1E-7)),1,0)</f>
        <v/>
      </c>
    </row>
    <row r="124">
      <c r="A124" t="n">
        <v>122</v>
      </c>
      <c r="B124">
        <f>IF(A124&lt;=Swap2x2!$B$10,_xlfn.BINOM.DIST(A124,Swap2x2!$B$10,Swap2x2!$B$46,FALSE),0)</f>
        <v/>
      </c>
      <c r="C124">
        <f>IF(AND(A124&lt;=Swap2x2!$B$10,B124&lt;=$D$2*(1+1E-7)),1,0)</f>
        <v/>
      </c>
    </row>
    <row r="125">
      <c r="A125" t="n">
        <v>123</v>
      </c>
      <c r="B125">
        <f>IF(A125&lt;=Swap2x2!$B$10,_xlfn.BINOM.DIST(A125,Swap2x2!$B$10,Swap2x2!$B$46,FALSE),0)</f>
        <v/>
      </c>
      <c r="C125">
        <f>IF(AND(A125&lt;=Swap2x2!$B$10,B125&lt;=$D$2*(1+1E-7)),1,0)</f>
        <v/>
      </c>
    </row>
    <row r="126">
      <c r="A126" t="n">
        <v>124</v>
      </c>
      <c r="B126">
        <f>IF(A126&lt;=Swap2x2!$B$10,_xlfn.BINOM.DIST(A126,Swap2x2!$B$10,Swap2x2!$B$46,FALSE),0)</f>
        <v/>
      </c>
      <c r="C126">
        <f>IF(AND(A126&lt;=Swap2x2!$B$10,B126&lt;=$D$2*(1+1E-7)),1,0)</f>
        <v/>
      </c>
    </row>
    <row r="127">
      <c r="A127" t="n">
        <v>125</v>
      </c>
      <c r="B127">
        <f>IF(A127&lt;=Swap2x2!$B$10,_xlfn.BINOM.DIST(A127,Swap2x2!$B$10,Swap2x2!$B$46,FALSE),0)</f>
        <v/>
      </c>
      <c r="C127">
        <f>IF(AND(A127&lt;=Swap2x2!$B$10,B127&lt;=$D$2*(1+1E-7)),1,0)</f>
        <v/>
      </c>
    </row>
    <row r="128">
      <c r="A128" t="n">
        <v>126</v>
      </c>
      <c r="B128">
        <f>IF(A128&lt;=Swap2x2!$B$10,_xlfn.BINOM.DIST(A128,Swap2x2!$B$10,Swap2x2!$B$46,FALSE),0)</f>
        <v/>
      </c>
      <c r="C128">
        <f>IF(AND(A128&lt;=Swap2x2!$B$10,B128&lt;=$D$2*(1+1E-7)),1,0)</f>
        <v/>
      </c>
    </row>
    <row r="129">
      <c r="A129" t="n">
        <v>127</v>
      </c>
      <c r="B129">
        <f>IF(A129&lt;=Swap2x2!$B$10,_xlfn.BINOM.DIST(A129,Swap2x2!$B$10,Swap2x2!$B$46,FALSE),0)</f>
        <v/>
      </c>
      <c r="C129">
        <f>IF(AND(A129&lt;=Swap2x2!$B$10,B129&lt;=$D$2*(1+1E-7)),1,0)</f>
        <v/>
      </c>
    </row>
    <row r="130">
      <c r="A130" t="n">
        <v>128</v>
      </c>
      <c r="B130">
        <f>IF(A130&lt;=Swap2x2!$B$10,_xlfn.BINOM.DIST(A130,Swap2x2!$B$10,Swap2x2!$B$46,FALSE),0)</f>
        <v/>
      </c>
      <c r="C130">
        <f>IF(AND(A130&lt;=Swap2x2!$B$10,B130&lt;=$D$2*(1+1E-7)),1,0)</f>
        <v/>
      </c>
    </row>
    <row r="131">
      <c r="A131" t="n">
        <v>129</v>
      </c>
      <c r="B131">
        <f>IF(A131&lt;=Swap2x2!$B$10,_xlfn.BINOM.DIST(A131,Swap2x2!$B$10,Swap2x2!$B$46,FALSE),0)</f>
        <v/>
      </c>
      <c r="C131">
        <f>IF(AND(A131&lt;=Swap2x2!$B$10,B131&lt;=$D$2*(1+1E-7)),1,0)</f>
        <v/>
      </c>
    </row>
    <row r="132">
      <c r="A132" t="n">
        <v>130</v>
      </c>
      <c r="B132">
        <f>IF(A132&lt;=Swap2x2!$B$10,_xlfn.BINOM.DIST(A132,Swap2x2!$B$10,Swap2x2!$B$46,FALSE),0)</f>
        <v/>
      </c>
      <c r="C132">
        <f>IF(AND(A132&lt;=Swap2x2!$B$10,B132&lt;=$D$2*(1+1E-7)),1,0)</f>
        <v/>
      </c>
    </row>
    <row r="133">
      <c r="A133" t="n">
        <v>131</v>
      </c>
      <c r="B133">
        <f>IF(A133&lt;=Swap2x2!$B$10,_xlfn.BINOM.DIST(A133,Swap2x2!$B$10,Swap2x2!$B$46,FALSE),0)</f>
        <v/>
      </c>
      <c r="C133">
        <f>IF(AND(A133&lt;=Swap2x2!$B$10,B133&lt;=$D$2*(1+1E-7)),1,0)</f>
        <v/>
      </c>
    </row>
    <row r="134">
      <c r="A134" t="n">
        <v>132</v>
      </c>
      <c r="B134">
        <f>IF(A134&lt;=Swap2x2!$B$10,_xlfn.BINOM.DIST(A134,Swap2x2!$B$10,Swap2x2!$B$46,FALSE),0)</f>
        <v/>
      </c>
      <c r="C134">
        <f>IF(AND(A134&lt;=Swap2x2!$B$10,B134&lt;=$D$2*(1+1E-7)),1,0)</f>
        <v/>
      </c>
    </row>
    <row r="135">
      <c r="A135" t="n">
        <v>133</v>
      </c>
      <c r="B135">
        <f>IF(A135&lt;=Swap2x2!$B$10,_xlfn.BINOM.DIST(A135,Swap2x2!$B$10,Swap2x2!$B$46,FALSE),0)</f>
        <v/>
      </c>
      <c r="C135">
        <f>IF(AND(A135&lt;=Swap2x2!$B$10,B135&lt;=$D$2*(1+1E-7)),1,0)</f>
        <v/>
      </c>
    </row>
    <row r="136">
      <c r="A136" t="n">
        <v>134</v>
      </c>
      <c r="B136">
        <f>IF(A136&lt;=Swap2x2!$B$10,_xlfn.BINOM.DIST(A136,Swap2x2!$B$10,Swap2x2!$B$46,FALSE),0)</f>
        <v/>
      </c>
      <c r="C136">
        <f>IF(AND(A136&lt;=Swap2x2!$B$10,B136&lt;=$D$2*(1+1E-7)),1,0)</f>
        <v/>
      </c>
    </row>
    <row r="137">
      <c r="A137" t="n">
        <v>135</v>
      </c>
      <c r="B137">
        <f>IF(A137&lt;=Swap2x2!$B$10,_xlfn.BINOM.DIST(A137,Swap2x2!$B$10,Swap2x2!$B$46,FALSE),0)</f>
        <v/>
      </c>
      <c r="C137">
        <f>IF(AND(A137&lt;=Swap2x2!$B$10,B137&lt;=$D$2*(1+1E-7)),1,0)</f>
        <v/>
      </c>
    </row>
    <row r="138">
      <c r="A138" t="n">
        <v>136</v>
      </c>
      <c r="B138">
        <f>IF(A138&lt;=Swap2x2!$B$10,_xlfn.BINOM.DIST(A138,Swap2x2!$B$10,Swap2x2!$B$46,FALSE),0)</f>
        <v/>
      </c>
      <c r="C138">
        <f>IF(AND(A138&lt;=Swap2x2!$B$10,B138&lt;=$D$2*(1+1E-7)),1,0)</f>
        <v/>
      </c>
    </row>
    <row r="139">
      <c r="A139" t="n">
        <v>137</v>
      </c>
      <c r="B139">
        <f>IF(A139&lt;=Swap2x2!$B$10,_xlfn.BINOM.DIST(A139,Swap2x2!$B$10,Swap2x2!$B$46,FALSE),0)</f>
        <v/>
      </c>
      <c r="C139">
        <f>IF(AND(A139&lt;=Swap2x2!$B$10,B139&lt;=$D$2*(1+1E-7)),1,0)</f>
        <v/>
      </c>
    </row>
    <row r="140">
      <c r="A140" t="n">
        <v>138</v>
      </c>
      <c r="B140">
        <f>IF(A140&lt;=Swap2x2!$B$10,_xlfn.BINOM.DIST(A140,Swap2x2!$B$10,Swap2x2!$B$46,FALSE),0)</f>
        <v/>
      </c>
      <c r="C140">
        <f>IF(AND(A140&lt;=Swap2x2!$B$10,B140&lt;=$D$2*(1+1E-7)),1,0)</f>
        <v/>
      </c>
    </row>
    <row r="141">
      <c r="A141" t="n">
        <v>139</v>
      </c>
      <c r="B141">
        <f>IF(A141&lt;=Swap2x2!$B$10,_xlfn.BINOM.DIST(A141,Swap2x2!$B$10,Swap2x2!$B$46,FALSE),0)</f>
        <v/>
      </c>
      <c r="C141">
        <f>IF(AND(A141&lt;=Swap2x2!$B$10,B141&lt;=$D$2*(1+1E-7)),1,0)</f>
        <v/>
      </c>
    </row>
    <row r="142">
      <c r="A142" t="n">
        <v>140</v>
      </c>
      <c r="B142">
        <f>IF(A142&lt;=Swap2x2!$B$10,_xlfn.BINOM.DIST(A142,Swap2x2!$B$10,Swap2x2!$B$46,FALSE),0)</f>
        <v/>
      </c>
      <c r="C142">
        <f>IF(AND(A142&lt;=Swap2x2!$B$10,B142&lt;=$D$2*(1+1E-7)),1,0)</f>
        <v/>
      </c>
    </row>
    <row r="143">
      <c r="A143" t="n">
        <v>141</v>
      </c>
      <c r="B143">
        <f>IF(A143&lt;=Swap2x2!$B$10,_xlfn.BINOM.DIST(A143,Swap2x2!$B$10,Swap2x2!$B$46,FALSE),0)</f>
        <v/>
      </c>
      <c r="C143">
        <f>IF(AND(A143&lt;=Swap2x2!$B$10,B143&lt;=$D$2*(1+1E-7)),1,0)</f>
        <v/>
      </c>
    </row>
    <row r="144">
      <c r="A144" t="n">
        <v>142</v>
      </c>
      <c r="B144">
        <f>IF(A144&lt;=Swap2x2!$B$10,_xlfn.BINOM.DIST(A144,Swap2x2!$B$10,Swap2x2!$B$46,FALSE),0)</f>
        <v/>
      </c>
      <c r="C144">
        <f>IF(AND(A144&lt;=Swap2x2!$B$10,B144&lt;=$D$2*(1+1E-7)),1,0)</f>
        <v/>
      </c>
    </row>
    <row r="145">
      <c r="A145" t="n">
        <v>143</v>
      </c>
      <c r="B145">
        <f>IF(A145&lt;=Swap2x2!$B$10,_xlfn.BINOM.DIST(A145,Swap2x2!$B$10,Swap2x2!$B$46,FALSE),0)</f>
        <v/>
      </c>
      <c r="C145">
        <f>IF(AND(A145&lt;=Swap2x2!$B$10,B145&lt;=$D$2*(1+1E-7)),1,0)</f>
        <v/>
      </c>
    </row>
    <row r="146">
      <c r="A146" t="n">
        <v>144</v>
      </c>
      <c r="B146">
        <f>IF(A146&lt;=Swap2x2!$B$10,_xlfn.BINOM.DIST(A146,Swap2x2!$B$10,Swap2x2!$B$46,FALSE),0)</f>
        <v/>
      </c>
      <c r="C146">
        <f>IF(AND(A146&lt;=Swap2x2!$B$10,B146&lt;=$D$2*(1+1E-7)),1,0)</f>
        <v/>
      </c>
    </row>
    <row r="147">
      <c r="A147" t="n">
        <v>145</v>
      </c>
      <c r="B147">
        <f>IF(A147&lt;=Swap2x2!$B$10,_xlfn.BINOM.DIST(A147,Swap2x2!$B$10,Swap2x2!$B$46,FALSE),0)</f>
        <v/>
      </c>
      <c r="C147">
        <f>IF(AND(A147&lt;=Swap2x2!$B$10,B147&lt;=$D$2*(1+1E-7)),1,0)</f>
        <v/>
      </c>
    </row>
    <row r="148">
      <c r="A148" t="n">
        <v>146</v>
      </c>
      <c r="B148">
        <f>IF(A148&lt;=Swap2x2!$B$10,_xlfn.BINOM.DIST(A148,Swap2x2!$B$10,Swap2x2!$B$46,FALSE),0)</f>
        <v/>
      </c>
      <c r="C148">
        <f>IF(AND(A148&lt;=Swap2x2!$B$10,B148&lt;=$D$2*(1+1E-7)),1,0)</f>
        <v/>
      </c>
    </row>
    <row r="149">
      <c r="A149" t="n">
        <v>147</v>
      </c>
      <c r="B149">
        <f>IF(A149&lt;=Swap2x2!$B$10,_xlfn.BINOM.DIST(A149,Swap2x2!$B$10,Swap2x2!$B$46,FALSE),0)</f>
        <v/>
      </c>
      <c r="C149">
        <f>IF(AND(A149&lt;=Swap2x2!$B$10,B149&lt;=$D$2*(1+1E-7)),1,0)</f>
        <v/>
      </c>
    </row>
    <row r="150">
      <c r="A150" t="n">
        <v>148</v>
      </c>
      <c r="B150">
        <f>IF(A150&lt;=Swap2x2!$B$10,_xlfn.BINOM.DIST(A150,Swap2x2!$B$10,Swap2x2!$B$46,FALSE),0)</f>
        <v/>
      </c>
      <c r="C150">
        <f>IF(AND(A150&lt;=Swap2x2!$B$10,B150&lt;=$D$2*(1+1E-7)),1,0)</f>
        <v/>
      </c>
    </row>
    <row r="151">
      <c r="A151" t="n">
        <v>149</v>
      </c>
      <c r="B151">
        <f>IF(A151&lt;=Swap2x2!$B$10,_xlfn.BINOM.DIST(A151,Swap2x2!$B$10,Swap2x2!$B$46,FALSE),0)</f>
        <v/>
      </c>
      <c r="C151">
        <f>IF(AND(A151&lt;=Swap2x2!$B$10,B151&lt;=$D$2*(1+1E-7)),1,0)</f>
        <v/>
      </c>
    </row>
    <row r="152">
      <c r="A152" t="n">
        <v>150</v>
      </c>
      <c r="B152">
        <f>IF(A152&lt;=Swap2x2!$B$10,_xlfn.BINOM.DIST(A152,Swap2x2!$B$10,Swap2x2!$B$46,FALSE),0)</f>
        <v/>
      </c>
      <c r="C152">
        <f>IF(AND(A152&lt;=Swap2x2!$B$10,B152&lt;=$D$2*(1+1E-7)),1,0)</f>
        <v/>
      </c>
    </row>
    <row r="153">
      <c r="A153" t="n">
        <v>151</v>
      </c>
      <c r="B153">
        <f>IF(A153&lt;=Swap2x2!$B$10,_xlfn.BINOM.DIST(A153,Swap2x2!$B$10,Swap2x2!$B$46,FALSE),0)</f>
        <v/>
      </c>
      <c r="C153">
        <f>IF(AND(A153&lt;=Swap2x2!$B$10,B153&lt;=$D$2*(1+1E-7)),1,0)</f>
        <v/>
      </c>
    </row>
    <row r="154">
      <c r="A154" t="n">
        <v>152</v>
      </c>
      <c r="B154">
        <f>IF(A154&lt;=Swap2x2!$B$10,_xlfn.BINOM.DIST(A154,Swap2x2!$B$10,Swap2x2!$B$46,FALSE),0)</f>
        <v/>
      </c>
      <c r="C154">
        <f>IF(AND(A154&lt;=Swap2x2!$B$10,B154&lt;=$D$2*(1+1E-7)),1,0)</f>
        <v/>
      </c>
    </row>
    <row r="155">
      <c r="A155" t="n">
        <v>153</v>
      </c>
      <c r="B155">
        <f>IF(A155&lt;=Swap2x2!$B$10,_xlfn.BINOM.DIST(A155,Swap2x2!$B$10,Swap2x2!$B$46,FALSE),0)</f>
        <v/>
      </c>
      <c r="C155">
        <f>IF(AND(A155&lt;=Swap2x2!$B$10,B155&lt;=$D$2*(1+1E-7)),1,0)</f>
        <v/>
      </c>
    </row>
    <row r="156">
      <c r="A156" t="n">
        <v>154</v>
      </c>
      <c r="B156">
        <f>IF(A156&lt;=Swap2x2!$B$10,_xlfn.BINOM.DIST(A156,Swap2x2!$B$10,Swap2x2!$B$46,FALSE),0)</f>
        <v/>
      </c>
      <c r="C156">
        <f>IF(AND(A156&lt;=Swap2x2!$B$10,B156&lt;=$D$2*(1+1E-7)),1,0)</f>
        <v/>
      </c>
    </row>
    <row r="157">
      <c r="A157" t="n">
        <v>155</v>
      </c>
      <c r="B157">
        <f>IF(A157&lt;=Swap2x2!$B$10,_xlfn.BINOM.DIST(A157,Swap2x2!$B$10,Swap2x2!$B$46,FALSE),0)</f>
        <v/>
      </c>
      <c r="C157">
        <f>IF(AND(A157&lt;=Swap2x2!$B$10,B157&lt;=$D$2*(1+1E-7)),1,0)</f>
        <v/>
      </c>
    </row>
    <row r="158">
      <c r="A158" t="n">
        <v>156</v>
      </c>
      <c r="B158">
        <f>IF(A158&lt;=Swap2x2!$B$10,_xlfn.BINOM.DIST(A158,Swap2x2!$B$10,Swap2x2!$B$46,FALSE),0)</f>
        <v/>
      </c>
      <c r="C158">
        <f>IF(AND(A158&lt;=Swap2x2!$B$10,B158&lt;=$D$2*(1+1E-7)),1,0)</f>
        <v/>
      </c>
    </row>
    <row r="159">
      <c r="A159" t="n">
        <v>157</v>
      </c>
      <c r="B159">
        <f>IF(A159&lt;=Swap2x2!$B$10,_xlfn.BINOM.DIST(A159,Swap2x2!$B$10,Swap2x2!$B$46,FALSE),0)</f>
        <v/>
      </c>
      <c r="C159">
        <f>IF(AND(A159&lt;=Swap2x2!$B$10,B159&lt;=$D$2*(1+1E-7)),1,0)</f>
        <v/>
      </c>
    </row>
    <row r="160">
      <c r="A160" t="n">
        <v>158</v>
      </c>
      <c r="B160">
        <f>IF(A160&lt;=Swap2x2!$B$10,_xlfn.BINOM.DIST(A160,Swap2x2!$B$10,Swap2x2!$B$46,FALSE),0)</f>
        <v/>
      </c>
      <c r="C160">
        <f>IF(AND(A160&lt;=Swap2x2!$B$10,B160&lt;=$D$2*(1+1E-7)),1,0)</f>
        <v/>
      </c>
    </row>
    <row r="161">
      <c r="A161" t="n">
        <v>159</v>
      </c>
      <c r="B161">
        <f>IF(A161&lt;=Swap2x2!$B$10,_xlfn.BINOM.DIST(A161,Swap2x2!$B$10,Swap2x2!$B$46,FALSE),0)</f>
        <v/>
      </c>
      <c r="C161">
        <f>IF(AND(A161&lt;=Swap2x2!$B$10,B161&lt;=$D$2*(1+1E-7)),1,0)</f>
        <v/>
      </c>
    </row>
    <row r="162">
      <c r="A162" t="n">
        <v>160</v>
      </c>
      <c r="B162">
        <f>IF(A162&lt;=Swap2x2!$B$10,_xlfn.BINOM.DIST(A162,Swap2x2!$B$10,Swap2x2!$B$46,FALSE),0)</f>
        <v/>
      </c>
      <c r="C162">
        <f>IF(AND(A162&lt;=Swap2x2!$B$10,B162&lt;=$D$2*(1+1E-7)),1,0)</f>
        <v/>
      </c>
    </row>
    <row r="163">
      <c r="A163" t="n">
        <v>161</v>
      </c>
      <c r="B163">
        <f>IF(A163&lt;=Swap2x2!$B$10,_xlfn.BINOM.DIST(A163,Swap2x2!$B$10,Swap2x2!$B$46,FALSE),0)</f>
        <v/>
      </c>
      <c r="C163">
        <f>IF(AND(A163&lt;=Swap2x2!$B$10,B163&lt;=$D$2*(1+1E-7)),1,0)</f>
        <v/>
      </c>
    </row>
    <row r="164">
      <c r="A164" t="n">
        <v>162</v>
      </c>
      <c r="B164">
        <f>IF(A164&lt;=Swap2x2!$B$10,_xlfn.BINOM.DIST(A164,Swap2x2!$B$10,Swap2x2!$B$46,FALSE),0)</f>
        <v/>
      </c>
      <c r="C164">
        <f>IF(AND(A164&lt;=Swap2x2!$B$10,B164&lt;=$D$2*(1+1E-7)),1,0)</f>
        <v/>
      </c>
    </row>
    <row r="165">
      <c r="A165" t="n">
        <v>163</v>
      </c>
      <c r="B165">
        <f>IF(A165&lt;=Swap2x2!$B$10,_xlfn.BINOM.DIST(A165,Swap2x2!$B$10,Swap2x2!$B$46,FALSE),0)</f>
        <v/>
      </c>
      <c r="C165">
        <f>IF(AND(A165&lt;=Swap2x2!$B$10,B165&lt;=$D$2*(1+1E-7)),1,0)</f>
        <v/>
      </c>
    </row>
    <row r="166">
      <c r="A166" t="n">
        <v>164</v>
      </c>
      <c r="B166">
        <f>IF(A166&lt;=Swap2x2!$B$10,_xlfn.BINOM.DIST(A166,Swap2x2!$B$10,Swap2x2!$B$46,FALSE),0)</f>
        <v/>
      </c>
      <c r="C166">
        <f>IF(AND(A166&lt;=Swap2x2!$B$10,B166&lt;=$D$2*(1+1E-7)),1,0)</f>
        <v/>
      </c>
    </row>
    <row r="167">
      <c r="A167" t="n">
        <v>165</v>
      </c>
      <c r="B167">
        <f>IF(A167&lt;=Swap2x2!$B$10,_xlfn.BINOM.DIST(A167,Swap2x2!$B$10,Swap2x2!$B$46,FALSE),0)</f>
        <v/>
      </c>
      <c r="C167">
        <f>IF(AND(A167&lt;=Swap2x2!$B$10,B167&lt;=$D$2*(1+1E-7)),1,0)</f>
        <v/>
      </c>
    </row>
    <row r="168">
      <c r="A168" t="n">
        <v>166</v>
      </c>
      <c r="B168">
        <f>IF(A168&lt;=Swap2x2!$B$10,_xlfn.BINOM.DIST(A168,Swap2x2!$B$10,Swap2x2!$B$46,FALSE),0)</f>
        <v/>
      </c>
      <c r="C168">
        <f>IF(AND(A168&lt;=Swap2x2!$B$10,B168&lt;=$D$2*(1+1E-7)),1,0)</f>
        <v/>
      </c>
    </row>
    <row r="169">
      <c r="A169" t="n">
        <v>167</v>
      </c>
      <c r="B169">
        <f>IF(A169&lt;=Swap2x2!$B$10,_xlfn.BINOM.DIST(A169,Swap2x2!$B$10,Swap2x2!$B$46,FALSE),0)</f>
        <v/>
      </c>
      <c r="C169">
        <f>IF(AND(A169&lt;=Swap2x2!$B$10,B169&lt;=$D$2*(1+1E-7)),1,0)</f>
        <v/>
      </c>
    </row>
    <row r="170">
      <c r="A170" t="n">
        <v>168</v>
      </c>
      <c r="B170">
        <f>IF(A170&lt;=Swap2x2!$B$10,_xlfn.BINOM.DIST(A170,Swap2x2!$B$10,Swap2x2!$B$46,FALSE),0)</f>
        <v/>
      </c>
      <c r="C170">
        <f>IF(AND(A170&lt;=Swap2x2!$B$10,B170&lt;=$D$2*(1+1E-7)),1,0)</f>
        <v/>
      </c>
    </row>
    <row r="171">
      <c r="A171" t="n">
        <v>169</v>
      </c>
      <c r="B171">
        <f>IF(A171&lt;=Swap2x2!$B$10,_xlfn.BINOM.DIST(A171,Swap2x2!$B$10,Swap2x2!$B$46,FALSE),0)</f>
        <v/>
      </c>
      <c r="C171">
        <f>IF(AND(A171&lt;=Swap2x2!$B$10,B171&lt;=$D$2*(1+1E-7)),1,0)</f>
        <v/>
      </c>
    </row>
    <row r="172">
      <c r="A172" t="n">
        <v>170</v>
      </c>
      <c r="B172">
        <f>IF(A172&lt;=Swap2x2!$B$10,_xlfn.BINOM.DIST(A172,Swap2x2!$B$10,Swap2x2!$B$46,FALSE),0)</f>
        <v/>
      </c>
      <c r="C172">
        <f>IF(AND(A172&lt;=Swap2x2!$B$10,B172&lt;=$D$2*(1+1E-7)),1,0)</f>
        <v/>
      </c>
    </row>
    <row r="173">
      <c r="A173" t="n">
        <v>171</v>
      </c>
      <c r="B173">
        <f>IF(A173&lt;=Swap2x2!$B$10,_xlfn.BINOM.DIST(A173,Swap2x2!$B$10,Swap2x2!$B$46,FALSE),0)</f>
        <v/>
      </c>
      <c r="C173">
        <f>IF(AND(A173&lt;=Swap2x2!$B$10,B173&lt;=$D$2*(1+1E-7)),1,0)</f>
        <v/>
      </c>
    </row>
    <row r="174">
      <c r="A174" t="n">
        <v>172</v>
      </c>
      <c r="B174">
        <f>IF(A174&lt;=Swap2x2!$B$10,_xlfn.BINOM.DIST(A174,Swap2x2!$B$10,Swap2x2!$B$46,FALSE),0)</f>
        <v/>
      </c>
      <c r="C174">
        <f>IF(AND(A174&lt;=Swap2x2!$B$10,B174&lt;=$D$2*(1+1E-7)),1,0)</f>
        <v/>
      </c>
    </row>
    <row r="175">
      <c r="A175" t="n">
        <v>173</v>
      </c>
      <c r="B175">
        <f>IF(A175&lt;=Swap2x2!$B$10,_xlfn.BINOM.DIST(A175,Swap2x2!$B$10,Swap2x2!$B$46,FALSE),0)</f>
        <v/>
      </c>
      <c r="C175">
        <f>IF(AND(A175&lt;=Swap2x2!$B$10,B175&lt;=$D$2*(1+1E-7)),1,0)</f>
        <v/>
      </c>
    </row>
    <row r="176">
      <c r="A176" t="n">
        <v>174</v>
      </c>
      <c r="B176">
        <f>IF(A176&lt;=Swap2x2!$B$10,_xlfn.BINOM.DIST(A176,Swap2x2!$B$10,Swap2x2!$B$46,FALSE),0)</f>
        <v/>
      </c>
      <c r="C176">
        <f>IF(AND(A176&lt;=Swap2x2!$B$10,B176&lt;=$D$2*(1+1E-7)),1,0)</f>
        <v/>
      </c>
    </row>
    <row r="177">
      <c r="A177" t="n">
        <v>175</v>
      </c>
      <c r="B177">
        <f>IF(A177&lt;=Swap2x2!$B$10,_xlfn.BINOM.DIST(A177,Swap2x2!$B$10,Swap2x2!$B$46,FALSE),0)</f>
        <v/>
      </c>
      <c r="C177">
        <f>IF(AND(A177&lt;=Swap2x2!$B$10,B177&lt;=$D$2*(1+1E-7)),1,0)</f>
        <v/>
      </c>
    </row>
    <row r="178">
      <c r="A178" t="n">
        <v>176</v>
      </c>
      <c r="B178">
        <f>IF(A178&lt;=Swap2x2!$B$10,_xlfn.BINOM.DIST(A178,Swap2x2!$B$10,Swap2x2!$B$46,FALSE),0)</f>
        <v/>
      </c>
      <c r="C178">
        <f>IF(AND(A178&lt;=Swap2x2!$B$10,B178&lt;=$D$2*(1+1E-7)),1,0)</f>
        <v/>
      </c>
    </row>
    <row r="179">
      <c r="A179" t="n">
        <v>177</v>
      </c>
      <c r="B179">
        <f>IF(A179&lt;=Swap2x2!$B$10,_xlfn.BINOM.DIST(A179,Swap2x2!$B$10,Swap2x2!$B$46,FALSE),0)</f>
        <v/>
      </c>
      <c r="C179">
        <f>IF(AND(A179&lt;=Swap2x2!$B$10,B179&lt;=$D$2*(1+1E-7)),1,0)</f>
        <v/>
      </c>
    </row>
    <row r="180">
      <c r="A180" t="n">
        <v>178</v>
      </c>
      <c r="B180">
        <f>IF(A180&lt;=Swap2x2!$B$10,_xlfn.BINOM.DIST(A180,Swap2x2!$B$10,Swap2x2!$B$46,FALSE),0)</f>
        <v/>
      </c>
      <c r="C180">
        <f>IF(AND(A180&lt;=Swap2x2!$B$10,B180&lt;=$D$2*(1+1E-7)),1,0)</f>
        <v/>
      </c>
    </row>
    <row r="181">
      <c r="A181" t="n">
        <v>179</v>
      </c>
      <c r="B181">
        <f>IF(A181&lt;=Swap2x2!$B$10,_xlfn.BINOM.DIST(A181,Swap2x2!$B$10,Swap2x2!$B$46,FALSE),0)</f>
        <v/>
      </c>
      <c r="C181">
        <f>IF(AND(A181&lt;=Swap2x2!$B$10,B181&lt;=$D$2*(1+1E-7)),1,0)</f>
        <v/>
      </c>
    </row>
    <row r="182">
      <c r="A182" t="n">
        <v>180</v>
      </c>
      <c r="B182">
        <f>IF(A182&lt;=Swap2x2!$B$10,_xlfn.BINOM.DIST(A182,Swap2x2!$B$10,Swap2x2!$B$46,FALSE),0)</f>
        <v/>
      </c>
      <c r="C182">
        <f>IF(AND(A182&lt;=Swap2x2!$B$10,B182&lt;=$D$2*(1+1E-7)),1,0)</f>
        <v/>
      </c>
    </row>
    <row r="183">
      <c r="A183" t="n">
        <v>181</v>
      </c>
      <c r="B183">
        <f>IF(A183&lt;=Swap2x2!$B$10,_xlfn.BINOM.DIST(A183,Swap2x2!$B$10,Swap2x2!$B$46,FALSE),0)</f>
        <v/>
      </c>
      <c r="C183">
        <f>IF(AND(A183&lt;=Swap2x2!$B$10,B183&lt;=$D$2*(1+1E-7)),1,0)</f>
        <v/>
      </c>
    </row>
    <row r="184">
      <c r="A184" t="n">
        <v>182</v>
      </c>
      <c r="B184">
        <f>IF(A184&lt;=Swap2x2!$B$10,_xlfn.BINOM.DIST(A184,Swap2x2!$B$10,Swap2x2!$B$46,FALSE),0)</f>
        <v/>
      </c>
      <c r="C184">
        <f>IF(AND(A184&lt;=Swap2x2!$B$10,B184&lt;=$D$2*(1+1E-7)),1,0)</f>
        <v/>
      </c>
    </row>
    <row r="185">
      <c r="A185" t="n">
        <v>183</v>
      </c>
      <c r="B185">
        <f>IF(A185&lt;=Swap2x2!$B$10,_xlfn.BINOM.DIST(A185,Swap2x2!$B$10,Swap2x2!$B$46,FALSE),0)</f>
        <v/>
      </c>
      <c r="C185">
        <f>IF(AND(A185&lt;=Swap2x2!$B$10,B185&lt;=$D$2*(1+1E-7)),1,0)</f>
        <v/>
      </c>
    </row>
    <row r="186">
      <c r="A186" t="n">
        <v>184</v>
      </c>
      <c r="B186">
        <f>IF(A186&lt;=Swap2x2!$B$10,_xlfn.BINOM.DIST(A186,Swap2x2!$B$10,Swap2x2!$B$46,FALSE),0)</f>
        <v/>
      </c>
      <c r="C186">
        <f>IF(AND(A186&lt;=Swap2x2!$B$10,B186&lt;=$D$2*(1+1E-7)),1,0)</f>
        <v/>
      </c>
    </row>
    <row r="187">
      <c r="A187" t="n">
        <v>185</v>
      </c>
      <c r="B187">
        <f>IF(A187&lt;=Swap2x2!$B$10,_xlfn.BINOM.DIST(A187,Swap2x2!$B$10,Swap2x2!$B$46,FALSE),0)</f>
        <v/>
      </c>
      <c r="C187">
        <f>IF(AND(A187&lt;=Swap2x2!$B$10,B187&lt;=$D$2*(1+1E-7)),1,0)</f>
        <v/>
      </c>
    </row>
    <row r="188">
      <c r="A188" t="n">
        <v>186</v>
      </c>
      <c r="B188">
        <f>IF(A188&lt;=Swap2x2!$B$10,_xlfn.BINOM.DIST(A188,Swap2x2!$B$10,Swap2x2!$B$46,FALSE),0)</f>
        <v/>
      </c>
      <c r="C188">
        <f>IF(AND(A188&lt;=Swap2x2!$B$10,B188&lt;=$D$2*(1+1E-7)),1,0)</f>
        <v/>
      </c>
    </row>
    <row r="189">
      <c r="A189" t="n">
        <v>187</v>
      </c>
      <c r="B189">
        <f>IF(A189&lt;=Swap2x2!$B$10,_xlfn.BINOM.DIST(A189,Swap2x2!$B$10,Swap2x2!$B$46,FALSE),0)</f>
        <v/>
      </c>
      <c r="C189">
        <f>IF(AND(A189&lt;=Swap2x2!$B$10,B189&lt;=$D$2*(1+1E-7)),1,0)</f>
        <v/>
      </c>
    </row>
    <row r="190">
      <c r="A190" t="n">
        <v>188</v>
      </c>
      <c r="B190">
        <f>IF(A190&lt;=Swap2x2!$B$10,_xlfn.BINOM.DIST(A190,Swap2x2!$B$10,Swap2x2!$B$46,FALSE),0)</f>
        <v/>
      </c>
      <c r="C190">
        <f>IF(AND(A190&lt;=Swap2x2!$B$10,B190&lt;=$D$2*(1+1E-7)),1,0)</f>
        <v/>
      </c>
    </row>
    <row r="191">
      <c r="A191" t="n">
        <v>189</v>
      </c>
      <c r="B191">
        <f>IF(A191&lt;=Swap2x2!$B$10,_xlfn.BINOM.DIST(A191,Swap2x2!$B$10,Swap2x2!$B$46,FALSE),0)</f>
        <v/>
      </c>
      <c r="C191">
        <f>IF(AND(A191&lt;=Swap2x2!$B$10,B191&lt;=$D$2*(1+1E-7)),1,0)</f>
        <v/>
      </c>
    </row>
    <row r="192">
      <c r="A192" t="n">
        <v>190</v>
      </c>
      <c r="B192">
        <f>IF(A192&lt;=Swap2x2!$B$10,_xlfn.BINOM.DIST(A192,Swap2x2!$B$10,Swap2x2!$B$46,FALSE),0)</f>
        <v/>
      </c>
      <c r="C192">
        <f>IF(AND(A192&lt;=Swap2x2!$B$10,B192&lt;=$D$2*(1+1E-7)),1,0)</f>
        <v/>
      </c>
    </row>
    <row r="193">
      <c r="A193" t="n">
        <v>191</v>
      </c>
      <c r="B193">
        <f>IF(A193&lt;=Swap2x2!$B$10,_xlfn.BINOM.DIST(A193,Swap2x2!$B$10,Swap2x2!$B$46,FALSE),0)</f>
        <v/>
      </c>
      <c r="C193">
        <f>IF(AND(A193&lt;=Swap2x2!$B$10,B193&lt;=$D$2*(1+1E-7)),1,0)</f>
        <v/>
      </c>
    </row>
    <row r="194">
      <c r="A194" t="n">
        <v>192</v>
      </c>
      <c r="B194">
        <f>IF(A194&lt;=Swap2x2!$B$10,_xlfn.BINOM.DIST(A194,Swap2x2!$B$10,Swap2x2!$B$46,FALSE),0)</f>
        <v/>
      </c>
      <c r="C194">
        <f>IF(AND(A194&lt;=Swap2x2!$B$10,B194&lt;=$D$2*(1+1E-7)),1,0)</f>
        <v/>
      </c>
    </row>
    <row r="195">
      <c r="A195" t="n">
        <v>193</v>
      </c>
      <c r="B195">
        <f>IF(A195&lt;=Swap2x2!$B$10,_xlfn.BINOM.DIST(A195,Swap2x2!$B$10,Swap2x2!$B$46,FALSE),0)</f>
        <v/>
      </c>
      <c r="C195">
        <f>IF(AND(A195&lt;=Swap2x2!$B$10,B195&lt;=$D$2*(1+1E-7)),1,0)</f>
        <v/>
      </c>
    </row>
    <row r="196">
      <c r="A196" t="n">
        <v>194</v>
      </c>
      <c r="B196">
        <f>IF(A196&lt;=Swap2x2!$B$10,_xlfn.BINOM.DIST(A196,Swap2x2!$B$10,Swap2x2!$B$46,FALSE),0)</f>
        <v/>
      </c>
      <c r="C196">
        <f>IF(AND(A196&lt;=Swap2x2!$B$10,B196&lt;=$D$2*(1+1E-7)),1,0)</f>
        <v/>
      </c>
    </row>
    <row r="197">
      <c r="A197" t="n">
        <v>195</v>
      </c>
      <c r="B197">
        <f>IF(A197&lt;=Swap2x2!$B$10,_xlfn.BINOM.DIST(A197,Swap2x2!$B$10,Swap2x2!$B$46,FALSE),0)</f>
        <v/>
      </c>
      <c r="C197">
        <f>IF(AND(A197&lt;=Swap2x2!$B$10,B197&lt;=$D$2*(1+1E-7)),1,0)</f>
        <v/>
      </c>
    </row>
    <row r="198">
      <c r="A198" t="n">
        <v>196</v>
      </c>
      <c r="B198">
        <f>IF(A198&lt;=Swap2x2!$B$10,_xlfn.BINOM.DIST(A198,Swap2x2!$B$10,Swap2x2!$B$46,FALSE),0)</f>
        <v/>
      </c>
      <c r="C198">
        <f>IF(AND(A198&lt;=Swap2x2!$B$10,B198&lt;=$D$2*(1+1E-7)),1,0)</f>
        <v/>
      </c>
    </row>
    <row r="199">
      <c r="A199" t="n">
        <v>197</v>
      </c>
      <c r="B199">
        <f>IF(A199&lt;=Swap2x2!$B$10,_xlfn.BINOM.DIST(A199,Swap2x2!$B$10,Swap2x2!$B$46,FALSE),0)</f>
        <v/>
      </c>
      <c r="C199">
        <f>IF(AND(A199&lt;=Swap2x2!$B$10,B199&lt;=$D$2*(1+1E-7)),1,0)</f>
        <v/>
      </c>
    </row>
    <row r="200">
      <c r="A200" t="n">
        <v>198</v>
      </c>
      <c r="B200">
        <f>IF(A200&lt;=Swap2x2!$B$10,_xlfn.BINOM.DIST(A200,Swap2x2!$B$10,Swap2x2!$B$46,FALSE),0)</f>
        <v/>
      </c>
      <c r="C200">
        <f>IF(AND(A200&lt;=Swap2x2!$B$10,B200&lt;=$D$2*(1+1E-7)),1,0)</f>
        <v/>
      </c>
    </row>
    <row r="201">
      <c r="A201" t="n">
        <v>199</v>
      </c>
      <c r="B201">
        <f>IF(A201&lt;=Swap2x2!$B$10,_xlfn.BINOM.DIST(A201,Swap2x2!$B$10,Swap2x2!$B$46,FALSE),0)</f>
        <v/>
      </c>
      <c r="C201">
        <f>IF(AND(A201&lt;=Swap2x2!$B$10,B201&lt;=$D$2*(1+1E-7)),1,0)</f>
        <v/>
      </c>
    </row>
    <row r="202">
      <c r="A202" t="n">
        <v>200</v>
      </c>
      <c r="B202">
        <f>IF(A202&lt;=Swap2x2!$B$10,_xlfn.BINOM.DIST(A202,Swap2x2!$B$10,Swap2x2!$B$46,FALSE),0)</f>
        <v/>
      </c>
      <c r="C202">
        <f>IF(AND(A202&lt;=Swap2x2!$B$10,B202&lt;=$D$2*(1+1E-7)),1,0)</f>
        <v/>
      </c>
    </row>
    <row r="203">
      <c r="A203" t="n">
        <v>201</v>
      </c>
      <c r="B203">
        <f>IF(A203&lt;=Swap2x2!$B$10,_xlfn.BINOM.DIST(A203,Swap2x2!$B$10,Swap2x2!$B$46,FALSE),0)</f>
        <v/>
      </c>
      <c r="C203">
        <f>IF(AND(A203&lt;=Swap2x2!$B$10,B203&lt;=$D$2*(1+1E-7)),1,0)</f>
        <v/>
      </c>
    </row>
    <row r="204">
      <c r="A204" t="n">
        <v>202</v>
      </c>
      <c r="B204">
        <f>IF(A204&lt;=Swap2x2!$B$10,_xlfn.BINOM.DIST(A204,Swap2x2!$B$10,Swap2x2!$B$46,FALSE),0)</f>
        <v/>
      </c>
      <c r="C204">
        <f>IF(AND(A204&lt;=Swap2x2!$B$10,B204&lt;=$D$2*(1+1E-7)),1,0)</f>
        <v/>
      </c>
    </row>
    <row r="205">
      <c r="A205" t="n">
        <v>203</v>
      </c>
      <c r="B205">
        <f>IF(A205&lt;=Swap2x2!$B$10,_xlfn.BINOM.DIST(A205,Swap2x2!$B$10,Swap2x2!$B$46,FALSE),0)</f>
        <v/>
      </c>
      <c r="C205">
        <f>IF(AND(A205&lt;=Swap2x2!$B$10,B205&lt;=$D$2*(1+1E-7)),1,0)</f>
        <v/>
      </c>
    </row>
    <row r="206">
      <c r="A206" t="n">
        <v>204</v>
      </c>
      <c r="B206">
        <f>IF(A206&lt;=Swap2x2!$B$10,_xlfn.BINOM.DIST(A206,Swap2x2!$B$10,Swap2x2!$B$46,FALSE),0)</f>
        <v/>
      </c>
      <c r="C206">
        <f>IF(AND(A206&lt;=Swap2x2!$B$10,B206&lt;=$D$2*(1+1E-7)),1,0)</f>
        <v/>
      </c>
    </row>
    <row r="207">
      <c r="A207" t="n">
        <v>205</v>
      </c>
      <c r="B207">
        <f>IF(A207&lt;=Swap2x2!$B$10,_xlfn.BINOM.DIST(A207,Swap2x2!$B$10,Swap2x2!$B$46,FALSE),0)</f>
        <v/>
      </c>
      <c r="C207">
        <f>IF(AND(A207&lt;=Swap2x2!$B$10,B207&lt;=$D$2*(1+1E-7)),1,0)</f>
        <v/>
      </c>
    </row>
    <row r="208">
      <c r="A208" t="n">
        <v>206</v>
      </c>
      <c r="B208">
        <f>IF(A208&lt;=Swap2x2!$B$10,_xlfn.BINOM.DIST(A208,Swap2x2!$B$10,Swap2x2!$B$46,FALSE),0)</f>
        <v/>
      </c>
      <c r="C208">
        <f>IF(AND(A208&lt;=Swap2x2!$B$10,B208&lt;=$D$2*(1+1E-7)),1,0)</f>
        <v/>
      </c>
    </row>
    <row r="209">
      <c r="A209" t="n">
        <v>207</v>
      </c>
      <c r="B209">
        <f>IF(A209&lt;=Swap2x2!$B$10,_xlfn.BINOM.DIST(A209,Swap2x2!$B$10,Swap2x2!$B$46,FALSE),0)</f>
        <v/>
      </c>
      <c r="C209">
        <f>IF(AND(A209&lt;=Swap2x2!$B$10,B209&lt;=$D$2*(1+1E-7)),1,0)</f>
        <v/>
      </c>
    </row>
    <row r="210">
      <c r="A210" t="n">
        <v>208</v>
      </c>
      <c r="B210">
        <f>IF(A210&lt;=Swap2x2!$B$10,_xlfn.BINOM.DIST(A210,Swap2x2!$B$10,Swap2x2!$B$46,FALSE),0)</f>
        <v/>
      </c>
      <c r="C210">
        <f>IF(AND(A210&lt;=Swap2x2!$B$10,B210&lt;=$D$2*(1+1E-7)),1,0)</f>
        <v/>
      </c>
    </row>
    <row r="211">
      <c r="A211" t="n">
        <v>209</v>
      </c>
      <c r="B211">
        <f>IF(A211&lt;=Swap2x2!$B$10,_xlfn.BINOM.DIST(A211,Swap2x2!$B$10,Swap2x2!$B$46,FALSE),0)</f>
        <v/>
      </c>
      <c r="C211">
        <f>IF(AND(A211&lt;=Swap2x2!$B$10,B211&lt;=$D$2*(1+1E-7)),1,0)</f>
        <v/>
      </c>
    </row>
    <row r="212">
      <c r="A212" t="n">
        <v>210</v>
      </c>
      <c r="B212">
        <f>IF(A212&lt;=Swap2x2!$B$10,_xlfn.BINOM.DIST(A212,Swap2x2!$B$10,Swap2x2!$B$46,FALSE),0)</f>
        <v/>
      </c>
      <c r="C212">
        <f>IF(AND(A212&lt;=Swap2x2!$B$10,B212&lt;=$D$2*(1+1E-7)),1,0)</f>
        <v/>
      </c>
    </row>
    <row r="213">
      <c r="A213" t="n">
        <v>211</v>
      </c>
      <c r="B213">
        <f>IF(A213&lt;=Swap2x2!$B$10,_xlfn.BINOM.DIST(A213,Swap2x2!$B$10,Swap2x2!$B$46,FALSE),0)</f>
        <v/>
      </c>
      <c r="C213">
        <f>IF(AND(A213&lt;=Swap2x2!$B$10,B213&lt;=$D$2*(1+1E-7)),1,0)</f>
        <v/>
      </c>
    </row>
    <row r="214">
      <c r="A214" t="n">
        <v>212</v>
      </c>
      <c r="B214">
        <f>IF(A214&lt;=Swap2x2!$B$10,_xlfn.BINOM.DIST(A214,Swap2x2!$B$10,Swap2x2!$B$46,FALSE),0)</f>
        <v/>
      </c>
      <c r="C214">
        <f>IF(AND(A214&lt;=Swap2x2!$B$10,B214&lt;=$D$2*(1+1E-7)),1,0)</f>
        <v/>
      </c>
    </row>
    <row r="215">
      <c r="A215" t="n">
        <v>213</v>
      </c>
      <c r="B215">
        <f>IF(A215&lt;=Swap2x2!$B$10,_xlfn.BINOM.DIST(A215,Swap2x2!$B$10,Swap2x2!$B$46,FALSE),0)</f>
        <v/>
      </c>
      <c r="C215">
        <f>IF(AND(A215&lt;=Swap2x2!$B$10,B215&lt;=$D$2*(1+1E-7)),1,0)</f>
        <v/>
      </c>
    </row>
    <row r="216">
      <c r="A216" t="n">
        <v>214</v>
      </c>
      <c r="B216">
        <f>IF(A216&lt;=Swap2x2!$B$10,_xlfn.BINOM.DIST(A216,Swap2x2!$B$10,Swap2x2!$B$46,FALSE),0)</f>
        <v/>
      </c>
      <c r="C216">
        <f>IF(AND(A216&lt;=Swap2x2!$B$10,B216&lt;=$D$2*(1+1E-7)),1,0)</f>
        <v/>
      </c>
    </row>
    <row r="217">
      <c r="A217" t="n">
        <v>215</v>
      </c>
      <c r="B217">
        <f>IF(A217&lt;=Swap2x2!$B$10,_xlfn.BINOM.DIST(A217,Swap2x2!$B$10,Swap2x2!$B$46,FALSE),0)</f>
        <v/>
      </c>
      <c r="C217">
        <f>IF(AND(A217&lt;=Swap2x2!$B$10,B217&lt;=$D$2*(1+1E-7)),1,0)</f>
        <v/>
      </c>
    </row>
    <row r="218">
      <c r="A218" t="n">
        <v>216</v>
      </c>
      <c r="B218">
        <f>IF(A218&lt;=Swap2x2!$B$10,_xlfn.BINOM.DIST(A218,Swap2x2!$B$10,Swap2x2!$B$46,FALSE),0)</f>
        <v/>
      </c>
      <c r="C218">
        <f>IF(AND(A218&lt;=Swap2x2!$B$10,B218&lt;=$D$2*(1+1E-7)),1,0)</f>
        <v/>
      </c>
    </row>
    <row r="219">
      <c r="A219" t="n">
        <v>217</v>
      </c>
      <c r="B219">
        <f>IF(A219&lt;=Swap2x2!$B$10,_xlfn.BINOM.DIST(A219,Swap2x2!$B$10,Swap2x2!$B$46,FALSE),0)</f>
        <v/>
      </c>
      <c r="C219">
        <f>IF(AND(A219&lt;=Swap2x2!$B$10,B219&lt;=$D$2*(1+1E-7)),1,0)</f>
        <v/>
      </c>
    </row>
    <row r="220">
      <c r="A220" t="n">
        <v>218</v>
      </c>
      <c r="B220">
        <f>IF(A220&lt;=Swap2x2!$B$10,_xlfn.BINOM.DIST(A220,Swap2x2!$B$10,Swap2x2!$B$46,FALSE),0)</f>
        <v/>
      </c>
      <c r="C220">
        <f>IF(AND(A220&lt;=Swap2x2!$B$10,B220&lt;=$D$2*(1+1E-7)),1,0)</f>
        <v/>
      </c>
    </row>
    <row r="221">
      <c r="A221" t="n">
        <v>219</v>
      </c>
      <c r="B221">
        <f>IF(A221&lt;=Swap2x2!$B$10,_xlfn.BINOM.DIST(A221,Swap2x2!$B$10,Swap2x2!$B$46,FALSE),0)</f>
        <v/>
      </c>
      <c r="C221">
        <f>IF(AND(A221&lt;=Swap2x2!$B$10,B221&lt;=$D$2*(1+1E-7)),1,0)</f>
        <v/>
      </c>
    </row>
    <row r="222">
      <c r="A222" t="n">
        <v>220</v>
      </c>
      <c r="B222">
        <f>IF(A222&lt;=Swap2x2!$B$10,_xlfn.BINOM.DIST(A222,Swap2x2!$B$10,Swap2x2!$B$46,FALSE),0)</f>
        <v/>
      </c>
      <c r="C222">
        <f>IF(AND(A222&lt;=Swap2x2!$B$10,B222&lt;=$D$2*(1+1E-7)),1,0)</f>
        <v/>
      </c>
    </row>
    <row r="223">
      <c r="A223" t="n">
        <v>221</v>
      </c>
      <c r="B223">
        <f>IF(A223&lt;=Swap2x2!$B$10,_xlfn.BINOM.DIST(A223,Swap2x2!$B$10,Swap2x2!$B$46,FALSE),0)</f>
        <v/>
      </c>
      <c r="C223">
        <f>IF(AND(A223&lt;=Swap2x2!$B$10,B223&lt;=$D$2*(1+1E-7)),1,0)</f>
        <v/>
      </c>
    </row>
    <row r="224">
      <c r="A224" t="n">
        <v>222</v>
      </c>
      <c r="B224">
        <f>IF(A224&lt;=Swap2x2!$B$10,_xlfn.BINOM.DIST(A224,Swap2x2!$B$10,Swap2x2!$B$46,FALSE),0)</f>
        <v/>
      </c>
      <c r="C224">
        <f>IF(AND(A224&lt;=Swap2x2!$B$10,B224&lt;=$D$2*(1+1E-7)),1,0)</f>
        <v/>
      </c>
    </row>
    <row r="225">
      <c r="A225" t="n">
        <v>223</v>
      </c>
      <c r="B225">
        <f>IF(A225&lt;=Swap2x2!$B$10,_xlfn.BINOM.DIST(A225,Swap2x2!$B$10,Swap2x2!$B$46,FALSE),0)</f>
        <v/>
      </c>
      <c r="C225">
        <f>IF(AND(A225&lt;=Swap2x2!$B$10,B225&lt;=$D$2*(1+1E-7)),1,0)</f>
        <v/>
      </c>
    </row>
    <row r="226">
      <c r="A226" t="n">
        <v>224</v>
      </c>
      <c r="B226">
        <f>IF(A226&lt;=Swap2x2!$B$10,_xlfn.BINOM.DIST(A226,Swap2x2!$B$10,Swap2x2!$B$46,FALSE),0)</f>
        <v/>
      </c>
      <c r="C226">
        <f>IF(AND(A226&lt;=Swap2x2!$B$10,B226&lt;=$D$2*(1+1E-7)),1,0)</f>
        <v/>
      </c>
    </row>
    <row r="227">
      <c r="A227" t="n">
        <v>225</v>
      </c>
      <c r="B227">
        <f>IF(A227&lt;=Swap2x2!$B$10,_xlfn.BINOM.DIST(A227,Swap2x2!$B$10,Swap2x2!$B$46,FALSE),0)</f>
        <v/>
      </c>
      <c r="C227">
        <f>IF(AND(A227&lt;=Swap2x2!$B$10,B227&lt;=$D$2*(1+1E-7)),1,0)</f>
        <v/>
      </c>
    </row>
    <row r="228">
      <c r="A228" t="n">
        <v>226</v>
      </c>
      <c r="B228">
        <f>IF(A228&lt;=Swap2x2!$B$10,_xlfn.BINOM.DIST(A228,Swap2x2!$B$10,Swap2x2!$B$46,FALSE),0)</f>
        <v/>
      </c>
      <c r="C228">
        <f>IF(AND(A228&lt;=Swap2x2!$B$10,B228&lt;=$D$2*(1+1E-7)),1,0)</f>
        <v/>
      </c>
    </row>
    <row r="229">
      <c r="A229" t="n">
        <v>227</v>
      </c>
      <c r="B229">
        <f>IF(A229&lt;=Swap2x2!$B$10,_xlfn.BINOM.DIST(A229,Swap2x2!$B$10,Swap2x2!$B$46,FALSE),0)</f>
        <v/>
      </c>
      <c r="C229">
        <f>IF(AND(A229&lt;=Swap2x2!$B$10,B229&lt;=$D$2*(1+1E-7)),1,0)</f>
        <v/>
      </c>
    </row>
    <row r="230">
      <c r="A230" t="n">
        <v>228</v>
      </c>
      <c r="B230">
        <f>IF(A230&lt;=Swap2x2!$B$10,_xlfn.BINOM.DIST(A230,Swap2x2!$B$10,Swap2x2!$B$46,FALSE),0)</f>
        <v/>
      </c>
      <c r="C230">
        <f>IF(AND(A230&lt;=Swap2x2!$B$10,B230&lt;=$D$2*(1+1E-7)),1,0)</f>
        <v/>
      </c>
    </row>
    <row r="231">
      <c r="A231" t="n">
        <v>229</v>
      </c>
      <c r="B231">
        <f>IF(A231&lt;=Swap2x2!$B$10,_xlfn.BINOM.DIST(A231,Swap2x2!$B$10,Swap2x2!$B$46,FALSE),0)</f>
        <v/>
      </c>
      <c r="C231">
        <f>IF(AND(A231&lt;=Swap2x2!$B$10,B231&lt;=$D$2*(1+1E-7)),1,0)</f>
        <v/>
      </c>
    </row>
    <row r="232">
      <c r="A232" t="n">
        <v>230</v>
      </c>
      <c r="B232">
        <f>IF(A232&lt;=Swap2x2!$B$10,_xlfn.BINOM.DIST(A232,Swap2x2!$B$10,Swap2x2!$B$46,FALSE),0)</f>
        <v/>
      </c>
      <c r="C232">
        <f>IF(AND(A232&lt;=Swap2x2!$B$10,B232&lt;=$D$2*(1+1E-7)),1,0)</f>
        <v/>
      </c>
    </row>
    <row r="233">
      <c r="A233" t="n">
        <v>231</v>
      </c>
      <c r="B233">
        <f>IF(A233&lt;=Swap2x2!$B$10,_xlfn.BINOM.DIST(A233,Swap2x2!$B$10,Swap2x2!$B$46,FALSE),0)</f>
        <v/>
      </c>
      <c r="C233">
        <f>IF(AND(A233&lt;=Swap2x2!$B$10,B233&lt;=$D$2*(1+1E-7)),1,0)</f>
        <v/>
      </c>
    </row>
    <row r="234">
      <c r="A234" t="n">
        <v>232</v>
      </c>
      <c r="B234">
        <f>IF(A234&lt;=Swap2x2!$B$10,_xlfn.BINOM.DIST(A234,Swap2x2!$B$10,Swap2x2!$B$46,FALSE),0)</f>
        <v/>
      </c>
      <c r="C234">
        <f>IF(AND(A234&lt;=Swap2x2!$B$10,B234&lt;=$D$2*(1+1E-7)),1,0)</f>
        <v/>
      </c>
    </row>
    <row r="235">
      <c r="A235" t="n">
        <v>233</v>
      </c>
      <c r="B235">
        <f>IF(A235&lt;=Swap2x2!$B$10,_xlfn.BINOM.DIST(A235,Swap2x2!$B$10,Swap2x2!$B$46,FALSE),0)</f>
        <v/>
      </c>
      <c r="C235">
        <f>IF(AND(A235&lt;=Swap2x2!$B$10,B235&lt;=$D$2*(1+1E-7)),1,0)</f>
        <v/>
      </c>
    </row>
    <row r="236">
      <c r="A236" t="n">
        <v>234</v>
      </c>
      <c r="B236">
        <f>IF(A236&lt;=Swap2x2!$B$10,_xlfn.BINOM.DIST(A236,Swap2x2!$B$10,Swap2x2!$B$46,FALSE),0)</f>
        <v/>
      </c>
      <c r="C236">
        <f>IF(AND(A236&lt;=Swap2x2!$B$10,B236&lt;=$D$2*(1+1E-7)),1,0)</f>
        <v/>
      </c>
    </row>
    <row r="237">
      <c r="A237" t="n">
        <v>235</v>
      </c>
      <c r="B237">
        <f>IF(A237&lt;=Swap2x2!$B$10,_xlfn.BINOM.DIST(A237,Swap2x2!$B$10,Swap2x2!$B$46,FALSE),0)</f>
        <v/>
      </c>
      <c r="C237">
        <f>IF(AND(A237&lt;=Swap2x2!$B$10,B237&lt;=$D$2*(1+1E-7)),1,0)</f>
        <v/>
      </c>
    </row>
    <row r="238">
      <c r="A238" t="n">
        <v>236</v>
      </c>
      <c r="B238">
        <f>IF(A238&lt;=Swap2x2!$B$10,_xlfn.BINOM.DIST(A238,Swap2x2!$B$10,Swap2x2!$B$46,FALSE),0)</f>
        <v/>
      </c>
      <c r="C238">
        <f>IF(AND(A238&lt;=Swap2x2!$B$10,B238&lt;=$D$2*(1+1E-7)),1,0)</f>
        <v/>
      </c>
    </row>
    <row r="239">
      <c r="A239" t="n">
        <v>237</v>
      </c>
      <c r="B239">
        <f>IF(A239&lt;=Swap2x2!$B$10,_xlfn.BINOM.DIST(A239,Swap2x2!$B$10,Swap2x2!$B$46,FALSE),0)</f>
        <v/>
      </c>
      <c r="C239">
        <f>IF(AND(A239&lt;=Swap2x2!$B$10,B239&lt;=$D$2*(1+1E-7)),1,0)</f>
        <v/>
      </c>
    </row>
    <row r="240">
      <c r="A240" t="n">
        <v>238</v>
      </c>
      <c r="B240">
        <f>IF(A240&lt;=Swap2x2!$B$10,_xlfn.BINOM.DIST(A240,Swap2x2!$B$10,Swap2x2!$B$46,FALSE),0)</f>
        <v/>
      </c>
      <c r="C240">
        <f>IF(AND(A240&lt;=Swap2x2!$B$10,B240&lt;=$D$2*(1+1E-7)),1,0)</f>
        <v/>
      </c>
    </row>
    <row r="241">
      <c r="A241" t="n">
        <v>239</v>
      </c>
      <c r="B241">
        <f>IF(A241&lt;=Swap2x2!$B$10,_xlfn.BINOM.DIST(A241,Swap2x2!$B$10,Swap2x2!$B$46,FALSE),0)</f>
        <v/>
      </c>
      <c r="C241">
        <f>IF(AND(A241&lt;=Swap2x2!$B$10,B241&lt;=$D$2*(1+1E-7)),1,0)</f>
        <v/>
      </c>
    </row>
    <row r="242">
      <c r="A242" t="n">
        <v>240</v>
      </c>
      <c r="B242">
        <f>IF(A242&lt;=Swap2x2!$B$10,_xlfn.BINOM.DIST(A242,Swap2x2!$B$10,Swap2x2!$B$46,FALSE),0)</f>
        <v/>
      </c>
      <c r="C242">
        <f>IF(AND(A242&lt;=Swap2x2!$B$10,B242&lt;=$D$2*(1+1E-7)),1,0)</f>
        <v/>
      </c>
    </row>
    <row r="243">
      <c r="A243" t="n">
        <v>241</v>
      </c>
      <c r="B243">
        <f>IF(A243&lt;=Swap2x2!$B$10,_xlfn.BINOM.DIST(A243,Swap2x2!$B$10,Swap2x2!$B$46,FALSE),0)</f>
        <v/>
      </c>
      <c r="C243">
        <f>IF(AND(A243&lt;=Swap2x2!$B$10,B243&lt;=$D$2*(1+1E-7)),1,0)</f>
        <v/>
      </c>
    </row>
    <row r="244">
      <c r="A244" t="n">
        <v>242</v>
      </c>
      <c r="B244">
        <f>IF(A244&lt;=Swap2x2!$B$10,_xlfn.BINOM.DIST(A244,Swap2x2!$B$10,Swap2x2!$B$46,FALSE),0)</f>
        <v/>
      </c>
      <c r="C244">
        <f>IF(AND(A244&lt;=Swap2x2!$B$10,B244&lt;=$D$2*(1+1E-7)),1,0)</f>
        <v/>
      </c>
    </row>
    <row r="245">
      <c r="A245" t="n">
        <v>243</v>
      </c>
      <c r="B245">
        <f>IF(A245&lt;=Swap2x2!$B$10,_xlfn.BINOM.DIST(A245,Swap2x2!$B$10,Swap2x2!$B$46,FALSE),0)</f>
        <v/>
      </c>
      <c r="C245">
        <f>IF(AND(A245&lt;=Swap2x2!$B$10,B245&lt;=$D$2*(1+1E-7)),1,0)</f>
        <v/>
      </c>
    </row>
    <row r="246">
      <c r="A246" t="n">
        <v>244</v>
      </c>
      <c r="B246">
        <f>IF(A246&lt;=Swap2x2!$B$10,_xlfn.BINOM.DIST(A246,Swap2x2!$B$10,Swap2x2!$B$46,FALSE),0)</f>
        <v/>
      </c>
      <c r="C246">
        <f>IF(AND(A246&lt;=Swap2x2!$B$10,B246&lt;=$D$2*(1+1E-7)),1,0)</f>
        <v/>
      </c>
    </row>
    <row r="247">
      <c r="A247" t="n">
        <v>245</v>
      </c>
      <c r="B247">
        <f>IF(A247&lt;=Swap2x2!$B$10,_xlfn.BINOM.DIST(A247,Swap2x2!$B$10,Swap2x2!$B$46,FALSE),0)</f>
        <v/>
      </c>
      <c r="C247">
        <f>IF(AND(A247&lt;=Swap2x2!$B$10,B247&lt;=$D$2*(1+1E-7)),1,0)</f>
        <v/>
      </c>
    </row>
    <row r="248">
      <c r="A248" t="n">
        <v>246</v>
      </c>
      <c r="B248">
        <f>IF(A248&lt;=Swap2x2!$B$10,_xlfn.BINOM.DIST(A248,Swap2x2!$B$10,Swap2x2!$B$46,FALSE),0)</f>
        <v/>
      </c>
      <c r="C248">
        <f>IF(AND(A248&lt;=Swap2x2!$B$10,B248&lt;=$D$2*(1+1E-7)),1,0)</f>
        <v/>
      </c>
    </row>
    <row r="249">
      <c r="A249" t="n">
        <v>247</v>
      </c>
      <c r="B249">
        <f>IF(A249&lt;=Swap2x2!$B$10,_xlfn.BINOM.DIST(A249,Swap2x2!$B$10,Swap2x2!$B$46,FALSE),0)</f>
        <v/>
      </c>
      <c r="C249">
        <f>IF(AND(A249&lt;=Swap2x2!$B$10,B249&lt;=$D$2*(1+1E-7)),1,0)</f>
        <v/>
      </c>
    </row>
    <row r="250">
      <c r="A250" t="n">
        <v>248</v>
      </c>
      <c r="B250">
        <f>IF(A250&lt;=Swap2x2!$B$10,_xlfn.BINOM.DIST(A250,Swap2x2!$B$10,Swap2x2!$B$46,FALSE),0)</f>
        <v/>
      </c>
      <c r="C250">
        <f>IF(AND(A250&lt;=Swap2x2!$B$10,B250&lt;=$D$2*(1+1E-7)),1,0)</f>
        <v/>
      </c>
    </row>
    <row r="251">
      <c r="A251" t="n">
        <v>249</v>
      </c>
      <c r="B251">
        <f>IF(A251&lt;=Swap2x2!$B$10,_xlfn.BINOM.DIST(A251,Swap2x2!$B$10,Swap2x2!$B$46,FALSE),0)</f>
        <v/>
      </c>
      <c r="C251">
        <f>IF(AND(A251&lt;=Swap2x2!$B$10,B251&lt;=$D$2*(1+1E-7)),1,0)</f>
        <v/>
      </c>
    </row>
    <row r="252">
      <c r="A252" t="n">
        <v>250</v>
      </c>
      <c r="B252">
        <f>IF(A252&lt;=Swap2x2!$B$10,_xlfn.BINOM.DIST(A252,Swap2x2!$B$10,Swap2x2!$B$46,FALSE),0)</f>
        <v/>
      </c>
      <c r="C252">
        <f>IF(AND(A252&lt;=Swap2x2!$B$10,B252&lt;=$D$2*(1+1E-7)),1,0)</f>
        <v/>
      </c>
    </row>
    <row r="253">
      <c r="A253" t="n">
        <v>251</v>
      </c>
      <c r="B253">
        <f>IF(A253&lt;=Swap2x2!$B$10,_xlfn.BINOM.DIST(A253,Swap2x2!$B$10,Swap2x2!$B$46,FALSE),0)</f>
        <v/>
      </c>
      <c r="C253">
        <f>IF(AND(A253&lt;=Swap2x2!$B$10,B253&lt;=$D$2*(1+1E-7)),1,0)</f>
        <v/>
      </c>
    </row>
    <row r="254">
      <c r="A254" t="n">
        <v>252</v>
      </c>
      <c r="B254">
        <f>IF(A254&lt;=Swap2x2!$B$10,_xlfn.BINOM.DIST(A254,Swap2x2!$B$10,Swap2x2!$B$46,FALSE),0)</f>
        <v/>
      </c>
      <c r="C254">
        <f>IF(AND(A254&lt;=Swap2x2!$B$10,B254&lt;=$D$2*(1+1E-7)),1,0)</f>
        <v/>
      </c>
    </row>
    <row r="255">
      <c r="A255" t="n">
        <v>253</v>
      </c>
      <c r="B255">
        <f>IF(A255&lt;=Swap2x2!$B$10,_xlfn.BINOM.DIST(A255,Swap2x2!$B$10,Swap2x2!$B$46,FALSE),0)</f>
        <v/>
      </c>
      <c r="C255">
        <f>IF(AND(A255&lt;=Swap2x2!$B$10,B255&lt;=$D$2*(1+1E-7)),1,0)</f>
        <v/>
      </c>
    </row>
    <row r="256">
      <c r="A256" t="n">
        <v>254</v>
      </c>
      <c r="B256">
        <f>IF(A256&lt;=Swap2x2!$B$10,_xlfn.BINOM.DIST(A256,Swap2x2!$B$10,Swap2x2!$B$46,FALSE),0)</f>
        <v/>
      </c>
      <c r="C256">
        <f>IF(AND(A256&lt;=Swap2x2!$B$10,B256&lt;=$D$2*(1+1E-7)),1,0)</f>
        <v/>
      </c>
    </row>
    <row r="257">
      <c r="A257" t="n">
        <v>255</v>
      </c>
      <c r="B257">
        <f>IF(A257&lt;=Swap2x2!$B$10,_xlfn.BINOM.DIST(A257,Swap2x2!$B$10,Swap2x2!$B$46,FALSE),0)</f>
        <v/>
      </c>
      <c r="C257">
        <f>IF(AND(A257&lt;=Swap2x2!$B$10,B257&lt;=$D$2*(1+1E-7)),1,0)</f>
        <v/>
      </c>
    </row>
    <row r="258">
      <c r="A258" t="n">
        <v>256</v>
      </c>
      <c r="B258">
        <f>IF(A258&lt;=Swap2x2!$B$10,_xlfn.BINOM.DIST(A258,Swap2x2!$B$10,Swap2x2!$B$46,FALSE),0)</f>
        <v/>
      </c>
      <c r="C258">
        <f>IF(AND(A258&lt;=Swap2x2!$B$10,B258&lt;=$D$2*(1+1E-7)),1,0)</f>
        <v/>
      </c>
    </row>
    <row r="259">
      <c r="A259" t="n">
        <v>257</v>
      </c>
      <c r="B259">
        <f>IF(A259&lt;=Swap2x2!$B$10,_xlfn.BINOM.DIST(A259,Swap2x2!$B$10,Swap2x2!$B$46,FALSE),0)</f>
        <v/>
      </c>
      <c r="C259">
        <f>IF(AND(A259&lt;=Swap2x2!$B$10,B259&lt;=$D$2*(1+1E-7)),1,0)</f>
        <v/>
      </c>
    </row>
    <row r="260">
      <c r="A260" t="n">
        <v>258</v>
      </c>
      <c r="B260">
        <f>IF(A260&lt;=Swap2x2!$B$10,_xlfn.BINOM.DIST(A260,Swap2x2!$B$10,Swap2x2!$B$46,FALSE),0)</f>
        <v/>
      </c>
      <c r="C260">
        <f>IF(AND(A260&lt;=Swap2x2!$B$10,B260&lt;=$D$2*(1+1E-7)),1,0)</f>
        <v/>
      </c>
    </row>
    <row r="261">
      <c r="A261" t="n">
        <v>259</v>
      </c>
      <c r="B261">
        <f>IF(A261&lt;=Swap2x2!$B$10,_xlfn.BINOM.DIST(A261,Swap2x2!$B$10,Swap2x2!$B$46,FALSE),0)</f>
        <v/>
      </c>
      <c r="C261">
        <f>IF(AND(A261&lt;=Swap2x2!$B$10,B261&lt;=$D$2*(1+1E-7)),1,0)</f>
        <v/>
      </c>
    </row>
    <row r="262">
      <c r="A262" t="n">
        <v>260</v>
      </c>
      <c r="B262">
        <f>IF(A262&lt;=Swap2x2!$B$10,_xlfn.BINOM.DIST(A262,Swap2x2!$B$10,Swap2x2!$B$46,FALSE),0)</f>
        <v/>
      </c>
      <c r="C262">
        <f>IF(AND(A262&lt;=Swap2x2!$B$10,B262&lt;=$D$2*(1+1E-7)),1,0)</f>
        <v/>
      </c>
    </row>
    <row r="263">
      <c r="A263" t="n">
        <v>261</v>
      </c>
      <c r="B263">
        <f>IF(A263&lt;=Swap2x2!$B$10,_xlfn.BINOM.DIST(A263,Swap2x2!$B$10,Swap2x2!$B$46,FALSE),0)</f>
        <v/>
      </c>
      <c r="C263">
        <f>IF(AND(A263&lt;=Swap2x2!$B$10,B263&lt;=$D$2*(1+1E-7)),1,0)</f>
        <v/>
      </c>
    </row>
    <row r="264">
      <c r="A264" t="n">
        <v>262</v>
      </c>
      <c r="B264">
        <f>IF(A264&lt;=Swap2x2!$B$10,_xlfn.BINOM.DIST(A264,Swap2x2!$B$10,Swap2x2!$B$46,FALSE),0)</f>
        <v/>
      </c>
      <c r="C264">
        <f>IF(AND(A264&lt;=Swap2x2!$B$10,B264&lt;=$D$2*(1+1E-7)),1,0)</f>
        <v/>
      </c>
    </row>
    <row r="265">
      <c r="A265" t="n">
        <v>263</v>
      </c>
      <c r="B265">
        <f>IF(A265&lt;=Swap2x2!$B$10,_xlfn.BINOM.DIST(A265,Swap2x2!$B$10,Swap2x2!$B$46,FALSE),0)</f>
        <v/>
      </c>
      <c r="C265">
        <f>IF(AND(A265&lt;=Swap2x2!$B$10,B265&lt;=$D$2*(1+1E-7)),1,0)</f>
        <v/>
      </c>
    </row>
    <row r="266">
      <c r="A266" t="n">
        <v>264</v>
      </c>
      <c r="B266">
        <f>IF(A266&lt;=Swap2x2!$B$10,_xlfn.BINOM.DIST(A266,Swap2x2!$B$10,Swap2x2!$B$46,FALSE),0)</f>
        <v/>
      </c>
      <c r="C266">
        <f>IF(AND(A266&lt;=Swap2x2!$B$10,B266&lt;=$D$2*(1+1E-7)),1,0)</f>
        <v/>
      </c>
    </row>
    <row r="267">
      <c r="A267" t="n">
        <v>265</v>
      </c>
      <c r="B267">
        <f>IF(A267&lt;=Swap2x2!$B$10,_xlfn.BINOM.DIST(A267,Swap2x2!$B$10,Swap2x2!$B$46,FALSE),0)</f>
        <v/>
      </c>
      <c r="C267">
        <f>IF(AND(A267&lt;=Swap2x2!$B$10,B267&lt;=$D$2*(1+1E-7)),1,0)</f>
        <v/>
      </c>
    </row>
    <row r="268">
      <c r="A268" t="n">
        <v>266</v>
      </c>
      <c r="B268">
        <f>IF(A268&lt;=Swap2x2!$B$10,_xlfn.BINOM.DIST(A268,Swap2x2!$B$10,Swap2x2!$B$46,FALSE),0)</f>
        <v/>
      </c>
      <c r="C268">
        <f>IF(AND(A268&lt;=Swap2x2!$B$10,B268&lt;=$D$2*(1+1E-7)),1,0)</f>
        <v/>
      </c>
    </row>
    <row r="269">
      <c r="A269" t="n">
        <v>267</v>
      </c>
      <c r="B269">
        <f>IF(A269&lt;=Swap2x2!$B$10,_xlfn.BINOM.DIST(A269,Swap2x2!$B$10,Swap2x2!$B$46,FALSE),0)</f>
        <v/>
      </c>
      <c r="C269">
        <f>IF(AND(A269&lt;=Swap2x2!$B$10,B269&lt;=$D$2*(1+1E-7)),1,0)</f>
        <v/>
      </c>
    </row>
    <row r="270">
      <c r="A270" t="n">
        <v>268</v>
      </c>
      <c r="B270">
        <f>IF(A270&lt;=Swap2x2!$B$10,_xlfn.BINOM.DIST(A270,Swap2x2!$B$10,Swap2x2!$B$46,FALSE),0)</f>
        <v/>
      </c>
      <c r="C270">
        <f>IF(AND(A270&lt;=Swap2x2!$B$10,B270&lt;=$D$2*(1+1E-7)),1,0)</f>
        <v/>
      </c>
    </row>
    <row r="271">
      <c r="A271" t="n">
        <v>269</v>
      </c>
      <c r="B271">
        <f>IF(A271&lt;=Swap2x2!$B$10,_xlfn.BINOM.DIST(A271,Swap2x2!$B$10,Swap2x2!$B$46,FALSE),0)</f>
        <v/>
      </c>
      <c r="C271">
        <f>IF(AND(A271&lt;=Swap2x2!$B$10,B271&lt;=$D$2*(1+1E-7)),1,0)</f>
        <v/>
      </c>
    </row>
    <row r="272">
      <c r="A272" t="n">
        <v>270</v>
      </c>
      <c r="B272">
        <f>IF(A272&lt;=Swap2x2!$B$10,_xlfn.BINOM.DIST(A272,Swap2x2!$B$10,Swap2x2!$B$46,FALSE),0)</f>
        <v/>
      </c>
      <c r="C272">
        <f>IF(AND(A272&lt;=Swap2x2!$B$10,B272&lt;=$D$2*(1+1E-7)),1,0)</f>
        <v/>
      </c>
    </row>
    <row r="273">
      <c r="A273" t="n">
        <v>271</v>
      </c>
      <c r="B273">
        <f>IF(A273&lt;=Swap2x2!$B$10,_xlfn.BINOM.DIST(A273,Swap2x2!$B$10,Swap2x2!$B$46,FALSE),0)</f>
        <v/>
      </c>
      <c r="C273">
        <f>IF(AND(A273&lt;=Swap2x2!$B$10,B273&lt;=$D$2*(1+1E-7)),1,0)</f>
        <v/>
      </c>
    </row>
    <row r="274">
      <c r="A274" t="n">
        <v>272</v>
      </c>
      <c r="B274">
        <f>IF(A274&lt;=Swap2x2!$B$10,_xlfn.BINOM.DIST(A274,Swap2x2!$B$10,Swap2x2!$B$46,FALSE),0)</f>
        <v/>
      </c>
      <c r="C274">
        <f>IF(AND(A274&lt;=Swap2x2!$B$10,B274&lt;=$D$2*(1+1E-7)),1,0)</f>
        <v/>
      </c>
    </row>
    <row r="275">
      <c r="A275" t="n">
        <v>273</v>
      </c>
      <c r="B275">
        <f>IF(A275&lt;=Swap2x2!$B$10,_xlfn.BINOM.DIST(A275,Swap2x2!$B$10,Swap2x2!$B$46,FALSE),0)</f>
        <v/>
      </c>
      <c r="C275">
        <f>IF(AND(A275&lt;=Swap2x2!$B$10,B275&lt;=$D$2*(1+1E-7)),1,0)</f>
        <v/>
      </c>
    </row>
    <row r="276">
      <c r="A276" t="n">
        <v>274</v>
      </c>
      <c r="B276">
        <f>IF(A276&lt;=Swap2x2!$B$10,_xlfn.BINOM.DIST(A276,Swap2x2!$B$10,Swap2x2!$B$46,FALSE),0)</f>
        <v/>
      </c>
      <c r="C276">
        <f>IF(AND(A276&lt;=Swap2x2!$B$10,B276&lt;=$D$2*(1+1E-7)),1,0)</f>
        <v/>
      </c>
    </row>
    <row r="277">
      <c r="A277" t="n">
        <v>275</v>
      </c>
      <c r="B277">
        <f>IF(A277&lt;=Swap2x2!$B$10,_xlfn.BINOM.DIST(A277,Swap2x2!$B$10,Swap2x2!$B$46,FALSE),0)</f>
        <v/>
      </c>
      <c r="C277">
        <f>IF(AND(A277&lt;=Swap2x2!$B$10,B277&lt;=$D$2*(1+1E-7)),1,0)</f>
        <v/>
      </c>
    </row>
    <row r="278">
      <c r="A278" t="n">
        <v>276</v>
      </c>
      <c r="B278">
        <f>IF(A278&lt;=Swap2x2!$B$10,_xlfn.BINOM.DIST(A278,Swap2x2!$B$10,Swap2x2!$B$46,FALSE),0)</f>
        <v/>
      </c>
      <c r="C278">
        <f>IF(AND(A278&lt;=Swap2x2!$B$10,B278&lt;=$D$2*(1+1E-7)),1,0)</f>
        <v/>
      </c>
    </row>
    <row r="279">
      <c r="A279" t="n">
        <v>277</v>
      </c>
      <c r="B279">
        <f>IF(A279&lt;=Swap2x2!$B$10,_xlfn.BINOM.DIST(A279,Swap2x2!$B$10,Swap2x2!$B$46,FALSE),0)</f>
        <v/>
      </c>
      <c r="C279">
        <f>IF(AND(A279&lt;=Swap2x2!$B$10,B279&lt;=$D$2*(1+1E-7)),1,0)</f>
        <v/>
      </c>
    </row>
    <row r="280">
      <c r="A280" t="n">
        <v>278</v>
      </c>
      <c r="B280">
        <f>IF(A280&lt;=Swap2x2!$B$10,_xlfn.BINOM.DIST(A280,Swap2x2!$B$10,Swap2x2!$B$46,FALSE),0)</f>
        <v/>
      </c>
      <c r="C280">
        <f>IF(AND(A280&lt;=Swap2x2!$B$10,B280&lt;=$D$2*(1+1E-7)),1,0)</f>
        <v/>
      </c>
    </row>
    <row r="281">
      <c r="A281" t="n">
        <v>279</v>
      </c>
      <c r="B281">
        <f>IF(A281&lt;=Swap2x2!$B$10,_xlfn.BINOM.DIST(A281,Swap2x2!$B$10,Swap2x2!$B$46,FALSE),0)</f>
        <v/>
      </c>
      <c r="C281">
        <f>IF(AND(A281&lt;=Swap2x2!$B$10,B281&lt;=$D$2*(1+1E-7)),1,0)</f>
        <v/>
      </c>
    </row>
    <row r="282">
      <c r="A282" t="n">
        <v>280</v>
      </c>
      <c r="B282">
        <f>IF(A282&lt;=Swap2x2!$B$10,_xlfn.BINOM.DIST(A282,Swap2x2!$B$10,Swap2x2!$B$46,FALSE),0)</f>
        <v/>
      </c>
      <c r="C282">
        <f>IF(AND(A282&lt;=Swap2x2!$B$10,B282&lt;=$D$2*(1+1E-7)),1,0)</f>
        <v/>
      </c>
    </row>
    <row r="283">
      <c r="A283" t="n">
        <v>281</v>
      </c>
      <c r="B283">
        <f>IF(A283&lt;=Swap2x2!$B$10,_xlfn.BINOM.DIST(A283,Swap2x2!$B$10,Swap2x2!$B$46,FALSE),0)</f>
        <v/>
      </c>
      <c r="C283">
        <f>IF(AND(A283&lt;=Swap2x2!$B$10,B283&lt;=$D$2*(1+1E-7)),1,0)</f>
        <v/>
      </c>
    </row>
    <row r="284">
      <c r="A284" t="n">
        <v>282</v>
      </c>
      <c r="B284">
        <f>IF(A284&lt;=Swap2x2!$B$10,_xlfn.BINOM.DIST(A284,Swap2x2!$B$10,Swap2x2!$B$46,FALSE),0)</f>
        <v/>
      </c>
      <c r="C284">
        <f>IF(AND(A284&lt;=Swap2x2!$B$10,B284&lt;=$D$2*(1+1E-7)),1,0)</f>
        <v/>
      </c>
    </row>
    <row r="285">
      <c r="A285" t="n">
        <v>283</v>
      </c>
      <c r="B285">
        <f>IF(A285&lt;=Swap2x2!$B$10,_xlfn.BINOM.DIST(A285,Swap2x2!$B$10,Swap2x2!$B$46,FALSE),0)</f>
        <v/>
      </c>
      <c r="C285">
        <f>IF(AND(A285&lt;=Swap2x2!$B$10,B285&lt;=$D$2*(1+1E-7)),1,0)</f>
        <v/>
      </c>
    </row>
    <row r="286">
      <c r="A286" t="n">
        <v>284</v>
      </c>
      <c r="B286">
        <f>IF(A286&lt;=Swap2x2!$B$10,_xlfn.BINOM.DIST(A286,Swap2x2!$B$10,Swap2x2!$B$46,FALSE),0)</f>
        <v/>
      </c>
      <c r="C286">
        <f>IF(AND(A286&lt;=Swap2x2!$B$10,B286&lt;=$D$2*(1+1E-7)),1,0)</f>
        <v/>
      </c>
    </row>
    <row r="287">
      <c r="A287" t="n">
        <v>285</v>
      </c>
      <c r="B287">
        <f>IF(A287&lt;=Swap2x2!$B$10,_xlfn.BINOM.DIST(A287,Swap2x2!$B$10,Swap2x2!$B$46,FALSE),0)</f>
        <v/>
      </c>
      <c r="C287">
        <f>IF(AND(A287&lt;=Swap2x2!$B$10,B287&lt;=$D$2*(1+1E-7)),1,0)</f>
        <v/>
      </c>
    </row>
    <row r="288">
      <c r="A288" t="n">
        <v>286</v>
      </c>
      <c r="B288">
        <f>IF(A288&lt;=Swap2x2!$B$10,_xlfn.BINOM.DIST(A288,Swap2x2!$B$10,Swap2x2!$B$46,FALSE),0)</f>
        <v/>
      </c>
      <c r="C288">
        <f>IF(AND(A288&lt;=Swap2x2!$B$10,B288&lt;=$D$2*(1+1E-7)),1,0)</f>
        <v/>
      </c>
    </row>
    <row r="289">
      <c r="A289" t="n">
        <v>287</v>
      </c>
      <c r="B289">
        <f>IF(A289&lt;=Swap2x2!$B$10,_xlfn.BINOM.DIST(A289,Swap2x2!$B$10,Swap2x2!$B$46,FALSE),0)</f>
        <v/>
      </c>
      <c r="C289">
        <f>IF(AND(A289&lt;=Swap2x2!$B$10,B289&lt;=$D$2*(1+1E-7)),1,0)</f>
        <v/>
      </c>
    </row>
    <row r="290">
      <c r="A290" t="n">
        <v>288</v>
      </c>
      <c r="B290">
        <f>IF(A290&lt;=Swap2x2!$B$10,_xlfn.BINOM.DIST(A290,Swap2x2!$B$10,Swap2x2!$B$46,FALSE),0)</f>
        <v/>
      </c>
      <c r="C290">
        <f>IF(AND(A290&lt;=Swap2x2!$B$10,B290&lt;=$D$2*(1+1E-7)),1,0)</f>
        <v/>
      </c>
    </row>
    <row r="291">
      <c r="A291" t="n">
        <v>289</v>
      </c>
      <c r="B291">
        <f>IF(A291&lt;=Swap2x2!$B$10,_xlfn.BINOM.DIST(A291,Swap2x2!$B$10,Swap2x2!$B$46,FALSE),0)</f>
        <v/>
      </c>
      <c r="C291">
        <f>IF(AND(A291&lt;=Swap2x2!$B$10,B291&lt;=$D$2*(1+1E-7)),1,0)</f>
        <v/>
      </c>
    </row>
    <row r="292">
      <c r="A292" t="n">
        <v>290</v>
      </c>
      <c r="B292">
        <f>IF(A292&lt;=Swap2x2!$B$10,_xlfn.BINOM.DIST(A292,Swap2x2!$B$10,Swap2x2!$B$46,FALSE),0)</f>
        <v/>
      </c>
      <c r="C292">
        <f>IF(AND(A292&lt;=Swap2x2!$B$10,B292&lt;=$D$2*(1+1E-7)),1,0)</f>
        <v/>
      </c>
    </row>
    <row r="293">
      <c r="A293" t="n">
        <v>291</v>
      </c>
      <c r="B293">
        <f>IF(A293&lt;=Swap2x2!$B$10,_xlfn.BINOM.DIST(A293,Swap2x2!$B$10,Swap2x2!$B$46,FALSE),0)</f>
        <v/>
      </c>
      <c r="C293">
        <f>IF(AND(A293&lt;=Swap2x2!$B$10,B293&lt;=$D$2*(1+1E-7)),1,0)</f>
        <v/>
      </c>
    </row>
    <row r="294">
      <c r="A294" t="n">
        <v>292</v>
      </c>
      <c r="B294">
        <f>IF(A294&lt;=Swap2x2!$B$10,_xlfn.BINOM.DIST(A294,Swap2x2!$B$10,Swap2x2!$B$46,FALSE),0)</f>
        <v/>
      </c>
      <c r="C294">
        <f>IF(AND(A294&lt;=Swap2x2!$B$10,B294&lt;=$D$2*(1+1E-7)),1,0)</f>
        <v/>
      </c>
    </row>
    <row r="295">
      <c r="A295" t="n">
        <v>293</v>
      </c>
      <c r="B295">
        <f>IF(A295&lt;=Swap2x2!$B$10,_xlfn.BINOM.DIST(A295,Swap2x2!$B$10,Swap2x2!$B$46,FALSE),0)</f>
        <v/>
      </c>
      <c r="C295">
        <f>IF(AND(A295&lt;=Swap2x2!$B$10,B295&lt;=$D$2*(1+1E-7)),1,0)</f>
        <v/>
      </c>
    </row>
    <row r="296">
      <c r="A296" t="n">
        <v>294</v>
      </c>
      <c r="B296">
        <f>IF(A296&lt;=Swap2x2!$B$10,_xlfn.BINOM.DIST(A296,Swap2x2!$B$10,Swap2x2!$B$46,FALSE),0)</f>
        <v/>
      </c>
      <c r="C296">
        <f>IF(AND(A296&lt;=Swap2x2!$B$10,B296&lt;=$D$2*(1+1E-7)),1,0)</f>
        <v/>
      </c>
    </row>
    <row r="297">
      <c r="A297" t="n">
        <v>295</v>
      </c>
      <c r="B297">
        <f>IF(A297&lt;=Swap2x2!$B$10,_xlfn.BINOM.DIST(A297,Swap2x2!$B$10,Swap2x2!$B$46,FALSE),0)</f>
        <v/>
      </c>
      <c r="C297">
        <f>IF(AND(A297&lt;=Swap2x2!$B$10,B297&lt;=$D$2*(1+1E-7)),1,0)</f>
        <v/>
      </c>
    </row>
    <row r="298">
      <c r="A298" t="n">
        <v>296</v>
      </c>
      <c r="B298">
        <f>IF(A298&lt;=Swap2x2!$B$10,_xlfn.BINOM.DIST(A298,Swap2x2!$B$10,Swap2x2!$B$46,FALSE),0)</f>
        <v/>
      </c>
      <c r="C298">
        <f>IF(AND(A298&lt;=Swap2x2!$B$10,B298&lt;=$D$2*(1+1E-7)),1,0)</f>
        <v/>
      </c>
    </row>
    <row r="299">
      <c r="A299" t="n">
        <v>297</v>
      </c>
      <c r="B299">
        <f>IF(A299&lt;=Swap2x2!$B$10,_xlfn.BINOM.DIST(A299,Swap2x2!$B$10,Swap2x2!$B$46,FALSE),0)</f>
        <v/>
      </c>
      <c r="C299">
        <f>IF(AND(A299&lt;=Swap2x2!$B$10,B299&lt;=$D$2*(1+1E-7)),1,0)</f>
        <v/>
      </c>
    </row>
    <row r="300">
      <c r="A300" t="n">
        <v>298</v>
      </c>
      <c r="B300">
        <f>IF(A300&lt;=Swap2x2!$B$10,_xlfn.BINOM.DIST(A300,Swap2x2!$B$10,Swap2x2!$B$46,FALSE),0)</f>
        <v/>
      </c>
      <c r="C300">
        <f>IF(AND(A300&lt;=Swap2x2!$B$10,B300&lt;=$D$2*(1+1E-7)),1,0)</f>
        <v/>
      </c>
    </row>
    <row r="301">
      <c r="A301" t="n">
        <v>299</v>
      </c>
      <c r="B301">
        <f>IF(A301&lt;=Swap2x2!$B$10,_xlfn.BINOM.DIST(A301,Swap2x2!$B$10,Swap2x2!$B$46,FALSE),0)</f>
        <v/>
      </c>
      <c r="C301">
        <f>IF(AND(A301&lt;=Swap2x2!$B$10,B301&lt;=$D$2*(1+1E-7)),1,0)</f>
        <v/>
      </c>
    </row>
    <row r="302">
      <c r="A302" t="n">
        <v>300</v>
      </c>
      <c r="B302">
        <f>IF(A302&lt;=Swap2x2!$B$10,_xlfn.BINOM.DIST(A302,Swap2x2!$B$10,Swap2x2!$B$46,FALSE),0)</f>
        <v/>
      </c>
      <c r="C302">
        <f>IF(AND(A302&lt;=Swap2x2!$B$10,B302&lt;=$D$2*(1+1E-7)),1,0)</f>
        <v/>
      </c>
    </row>
    <row r="303">
      <c r="A303" t="n">
        <v>301</v>
      </c>
      <c r="B303">
        <f>IF(A303&lt;=Swap2x2!$B$10,_xlfn.BINOM.DIST(A303,Swap2x2!$B$10,Swap2x2!$B$46,FALSE),0)</f>
        <v/>
      </c>
      <c r="C303">
        <f>IF(AND(A303&lt;=Swap2x2!$B$10,B303&lt;=$D$2*(1+1E-7)),1,0)</f>
        <v/>
      </c>
    </row>
    <row r="304">
      <c r="A304" t="n">
        <v>302</v>
      </c>
      <c r="B304">
        <f>IF(A304&lt;=Swap2x2!$B$10,_xlfn.BINOM.DIST(A304,Swap2x2!$B$10,Swap2x2!$B$46,FALSE),0)</f>
        <v/>
      </c>
      <c r="C304">
        <f>IF(AND(A304&lt;=Swap2x2!$B$10,B304&lt;=$D$2*(1+1E-7)),1,0)</f>
        <v/>
      </c>
    </row>
    <row r="305">
      <c r="A305" t="n">
        <v>303</v>
      </c>
      <c r="B305">
        <f>IF(A305&lt;=Swap2x2!$B$10,_xlfn.BINOM.DIST(A305,Swap2x2!$B$10,Swap2x2!$B$46,FALSE),0)</f>
        <v/>
      </c>
      <c r="C305">
        <f>IF(AND(A305&lt;=Swap2x2!$B$10,B305&lt;=$D$2*(1+1E-7)),1,0)</f>
        <v/>
      </c>
    </row>
    <row r="306">
      <c r="A306" t="n">
        <v>304</v>
      </c>
      <c r="B306">
        <f>IF(A306&lt;=Swap2x2!$B$10,_xlfn.BINOM.DIST(A306,Swap2x2!$B$10,Swap2x2!$B$46,FALSE),0)</f>
        <v/>
      </c>
      <c r="C306">
        <f>IF(AND(A306&lt;=Swap2x2!$B$10,B306&lt;=$D$2*(1+1E-7)),1,0)</f>
        <v/>
      </c>
    </row>
    <row r="307">
      <c r="A307" t="n">
        <v>305</v>
      </c>
      <c r="B307">
        <f>IF(A307&lt;=Swap2x2!$B$10,_xlfn.BINOM.DIST(A307,Swap2x2!$B$10,Swap2x2!$B$46,FALSE),0)</f>
        <v/>
      </c>
      <c r="C307">
        <f>IF(AND(A307&lt;=Swap2x2!$B$10,B307&lt;=$D$2*(1+1E-7)),1,0)</f>
        <v/>
      </c>
    </row>
    <row r="308">
      <c r="A308" t="n">
        <v>306</v>
      </c>
      <c r="B308">
        <f>IF(A308&lt;=Swap2x2!$B$10,_xlfn.BINOM.DIST(A308,Swap2x2!$B$10,Swap2x2!$B$46,FALSE),0)</f>
        <v/>
      </c>
      <c r="C308">
        <f>IF(AND(A308&lt;=Swap2x2!$B$10,B308&lt;=$D$2*(1+1E-7)),1,0)</f>
        <v/>
      </c>
    </row>
    <row r="309">
      <c r="A309" t="n">
        <v>307</v>
      </c>
      <c r="B309">
        <f>IF(A309&lt;=Swap2x2!$B$10,_xlfn.BINOM.DIST(A309,Swap2x2!$B$10,Swap2x2!$B$46,FALSE),0)</f>
        <v/>
      </c>
      <c r="C309">
        <f>IF(AND(A309&lt;=Swap2x2!$B$10,B309&lt;=$D$2*(1+1E-7)),1,0)</f>
        <v/>
      </c>
    </row>
    <row r="310">
      <c r="A310" t="n">
        <v>308</v>
      </c>
      <c r="B310">
        <f>IF(A310&lt;=Swap2x2!$B$10,_xlfn.BINOM.DIST(A310,Swap2x2!$B$10,Swap2x2!$B$46,FALSE),0)</f>
        <v/>
      </c>
      <c r="C310">
        <f>IF(AND(A310&lt;=Swap2x2!$B$10,B310&lt;=$D$2*(1+1E-7)),1,0)</f>
        <v/>
      </c>
    </row>
    <row r="311">
      <c r="A311" t="n">
        <v>309</v>
      </c>
      <c r="B311">
        <f>IF(A311&lt;=Swap2x2!$B$10,_xlfn.BINOM.DIST(A311,Swap2x2!$B$10,Swap2x2!$B$46,FALSE),0)</f>
        <v/>
      </c>
      <c r="C311">
        <f>IF(AND(A311&lt;=Swap2x2!$B$10,B311&lt;=$D$2*(1+1E-7)),1,0)</f>
        <v/>
      </c>
    </row>
    <row r="312">
      <c r="A312" t="n">
        <v>310</v>
      </c>
      <c r="B312">
        <f>IF(A312&lt;=Swap2x2!$B$10,_xlfn.BINOM.DIST(A312,Swap2x2!$B$10,Swap2x2!$B$46,FALSE),0)</f>
        <v/>
      </c>
      <c r="C312">
        <f>IF(AND(A312&lt;=Swap2x2!$B$10,B312&lt;=$D$2*(1+1E-7)),1,0)</f>
        <v/>
      </c>
    </row>
    <row r="313">
      <c r="A313" t="n">
        <v>311</v>
      </c>
      <c r="B313">
        <f>IF(A313&lt;=Swap2x2!$B$10,_xlfn.BINOM.DIST(A313,Swap2x2!$B$10,Swap2x2!$B$46,FALSE),0)</f>
        <v/>
      </c>
      <c r="C313">
        <f>IF(AND(A313&lt;=Swap2x2!$B$10,B313&lt;=$D$2*(1+1E-7)),1,0)</f>
        <v/>
      </c>
    </row>
    <row r="314">
      <c r="A314" t="n">
        <v>312</v>
      </c>
      <c r="B314">
        <f>IF(A314&lt;=Swap2x2!$B$10,_xlfn.BINOM.DIST(A314,Swap2x2!$B$10,Swap2x2!$B$46,FALSE),0)</f>
        <v/>
      </c>
      <c r="C314">
        <f>IF(AND(A314&lt;=Swap2x2!$B$10,B314&lt;=$D$2*(1+1E-7)),1,0)</f>
        <v/>
      </c>
    </row>
    <row r="315">
      <c r="A315" t="n">
        <v>313</v>
      </c>
      <c r="B315">
        <f>IF(A315&lt;=Swap2x2!$B$10,_xlfn.BINOM.DIST(A315,Swap2x2!$B$10,Swap2x2!$B$46,FALSE),0)</f>
        <v/>
      </c>
      <c r="C315">
        <f>IF(AND(A315&lt;=Swap2x2!$B$10,B315&lt;=$D$2*(1+1E-7)),1,0)</f>
        <v/>
      </c>
    </row>
    <row r="316">
      <c r="A316" t="n">
        <v>314</v>
      </c>
      <c r="B316">
        <f>IF(A316&lt;=Swap2x2!$B$10,_xlfn.BINOM.DIST(A316,Swap2x2!$B$10,Swap2x2!$B$46,FALSE),0)</f>
        <v/>
      </c>
      <c r="C316">
        <f>IF(AND(A316&lt;=Swap2x2!$B$10,B316&lt;=$D$2*(1+1E-7)),1,0)</f>
        <v/>
      </c>
    </row>
    <row r="317">
      <c r="A317" t="n">
        <v>315</v>
      </c>
      <c r="B317">
        <f>IF(A317&lt;=Swap2x2!$B$10,_xlfn.BINOM.DIST(A317,Swap2x2!$B$10,Swap2x2!$B$46,FALSE),0)</f>
        <v/>
      </c>
      <c r="C317">
        <f>IF(AND(A317&lt;=Swap2x2!$B$10,B317&lt;=$D$2*(1+1E-7)),1,0)</f>
        <v/>
      </c>
    </row>
    <row r="318">
      <c r="A318" t="n">
        <v>316</v>
      </c>
      <c r="B318">
        <f>IF(A318&lt;=Swap2x2!$B$10,_xlfn.BINOM.DIST(A318,Swap2x2!$B$10,Swap2x2!$B$46,FALSE),0)</f>
        <v/>
      </c>
      <c r="C318">
        <f>IF(AND(A318&lt;=Swap2x2!$B$10,B318&lt;=$D$2*(1+1E-7)),1,0)</f>
        <v/>
      </c>
    </row>
    <row r="319">
      <c r="A319" t="n">
        <v>317</v>
      </c>
      <c r="B319">
        <f>IF(A319&lt;=Swap2x2!$B$10,_xlfn.BINOM.DIST(A319,Swap2x2!$B$10,Swap2x2!$B$46,FALSE),0)</f>
        <v/>
      </c>
      <c r="C319">
        <f>IF(AND(A319&lt;=Swap2x2!$B$10,B319&lt;=$D$2*(1+1E-7)),1,0)</f>
        <v/>
      </c>
    </row>
    <row r="320">
      <c r="A320" t="n">
        <v>318</v>
      </c>
      <c r="B320">
        <f>IF(A320&lt;=Swap2x2!$B$10,_xlfn.BINOM.DIST(A320,Swap2x2!$B$10,Swap2x2!$B$46,FALSE),0)</f>
        <v/>
      </c>
      <c r="C320">
        <f>IF(AND(A320&lt;=Swap2x2!$B$10,B320&lt;=$D$2*(1+1E-7)),1,0)</f>
        <v/>
      </c>
    </row>
    <row r="321">
      <c r="A321" t="n">
        <v>319</v>
      </c>
      <c r="B321">
        <f>IF(A321&lt;=Swap2x2!$B$10,_xlfn.BINOM.DIST(A321,Swap2x2!$B$10,Swap2x2!$B$46,FALSE),0)</f>
        <v/>
      </c>
      <c r="C321">
        <f>IF(AND(A321&lt;=Swap2x2!$B$10,B321&lt;=$D$2*(1+1E-7)),1,0)</f>
        <v/>
      </c>
    </row>
    <row r="322">
      <c r="A322" t="n">
        <v>320</v>
      </c>
      <c r="B322">
        <f>IF(A322&lt;=Swap2x2!$B$10,_xlfn.BINOM.DIST(A322,Swap2x2!$B$10,Swap2x2!$B$46,FALSE),0)</f>
        <v/>
      </c>
      <c r="C322">
        <f>IF(AND(A322&lt;=Swap2x2!$B$10,B322&lt;=$D$2*(1+1E-7)),1,0)</f>
        <v/>
      </c>
    </row>
    <row r="323">
      <c r="A323" t="n">
        <v>321</v>
      </c>
      <c r="B323">
        <f>IF(A323&lt;=Swap2x2!$B$10,_xlfn.BINOM.DIST(A323,Swap2x2!$B$10,Swap2x2!$B$46,FALSE),0)</f>
        <v/>
      </c>
      <c r="C323">
        <f>IF(AND(A323&lt;=Swap2x2!$B$10,B323&lt;=$D$2*(1+1E-7)),1,0)</f>
        <v/>
      </c>
    </row>
    <row r="324">
      <c r="A324" t="n">
        <v>322</v>
      </c>
      <c r="B324">
        <f>IF(A324&lt;=Swap2x2!$B$10,_xlfn.BINOM.DIST(A324,Swap2x2!$B$10,Swap2x2!$B$46,FALSE),0)</f>
        <v/>
      </c>
      <c r="C324">
        <f>IF(AND(A324&lt;=Swap2x2!$B$10,B324&lt;=$D$2*(1+1E-7)),1,0)</f>
        <v/>
      </c>
    </row>
    <row r="325">
      <c r="A325" t="n">
        <v>323</v>
      </c>
      <c r="B325">
        <f>IF(A325&lt;=Swap2x2!$B$10,_xlfn.BINOM.DIST(A325,Swap2x2!$B$10,Swap2x2!$B$46,FALSE),0)</f>
        <v/>
      </c>
      <c r="C325">
        <f>IF(AND(A325&lt;=Swap2x2!$B$10,B325&lt;=$D$2*(1+1E-7)),1,0)</f>
        <v/>
      </c>
    </row>
    <row r="326">
      <c r="A326" t="n">
        <v>324</v>
      </c>
      <c r="B326">
        <f>IF(A326&lt;=Swap2x2!$B$10,_xlfn.BINOM.DIST(A326,Swap2x2!$B$10,Swap2x2!$B$46,FALSE),0)</f>
        <v/>
      </c>
      <c r="C326">
        <f>IF(AND(A326&lt;=Swap2x2!$B$10,B326&lt;=$D$2*(1+1E-7)),1,0)</f>
        <v/>
      </c>
    </row>
    <row r="327">
      <c r="A327" t="n">
        <v>325</v>
      </c>
      <c r="B327">
        <f>IF(A327&lt;=Swap2x2!$B$10,_xlfn.BINOM.DIST(A327,Swap2x2!$B$10,Swap2x2!$B$46,FALSE),0)</f>
        <v/>
      </c>
      <c r="C327">
        <f>IF(AND(A327&lt;=Swap2x2!$B$10,B327&lt;=$D$2*(1+1E-7)),1,0)</f>
        <v/>
      </c>
    </row>
    <row r="328">
      <c r="A328" t="n">
        <v>326</v>
      </c>
      <c r="B328">
        <f>IF(A328&lt;=Swap2x2!$B$10,_xlfn.BINOM.DIST(A328,Swap2x2!$B$10,Swap2x2!$B$46,FALSE),0)</f>
        <v/>
      </c>
      <c r="C328">
        <f>IF(AND(A328&lt;=Swap2x2!$B$10,B328&lt;=$D$2*(1+1E-7)),1,0)</f>
        <v/>
      </c>
    </row>
    <row r="329">
      <c r="A329" t="n">
        <v>327</v>
      </c>
      <c r="B329">
        <f>IF(A329&lt;=Swap2x2!$B$10,_xlfn.BINOM.DIST(A329,Swap2x2!$B$10,Swap2x2!$B$46,FALSE),0)</f>
        <v/>
      </c>
      <c r="C329">
        <f>IF(AND(A329&lt;=Swap2x2!$B$10,B329&lt;=$D$2*(1+1E-7)),1,0)</f>
        <v/>
      </c>
    </row>
    <row r="330">
      <c r="A330" t="n">
        <v>328</v>
      </c>
      <c r="B330">
        <f>IF(A330&lt;=Swap2x2!$B$10,_xlfn.BINOM.DIST(A330,Swap2x2!$B$10,Swap2x2!$B$46,FALSE),0)</f>
        <v/>
      </c>
      <c r="C330">
        <f>IF(AND(A330&lt;=Swap2x2!$B$10,B330&lt;=$D$2*(1+1E-7)),1,0)</f>
        <v/>
      </c>
    </row>
    <row r="331">
      <c r="A331" t="n">
        <v>329</v>
      </c>
      <c r="B331">
        <f>IF(A331&lt;=Swap2x2!$B$10,_xlfn.BINOM.DIST(A331,Swap2x2!$B$10,Swap2x2!$B$46,FALSE),0)</f>
        <v/>
      </c>
      <c r="C331">
        <f>IF(AND(A331&lt;=Swap2x2!$B$10,B331&lt;=$D$2*(1+1E-7)),1,0)</f>
        <v/>
      </c>
    </row>
    <row r="332">
      <c r="A332" t="n">
        <v>330</v>
      </c>
      <c r="B332">
        <f>IF(A332&lt;=Swap2x2!$B$10,_xlfn.BINOM.DIST(A332,Swap2x2!$B$10,Swap2x2!$B$46,FALSE),0)</f>
        <v/>
      </c>
      <c r="C332">
        <f>IF(AND(A332&lt;=Swap2x2!$B$10,B332&lt;=$D$2*(1+1E-7)),1,0)</f>
        <v/>
      </c>
    </row>
    <row r="333">
      <c r="A333" t="n">
        <v>331</v>
      </c>
      <c r="B333">
        <f>IF(A333&lt;=Swap2x2!$B$10,_xlfn.BINOM.DIST(A333,Swap2x2!$B$10,Swap2x2!$B$46,FALSE),0)</f>
        <v/>
      </c>
      <c r="C333">
        <f>IF(AND(A333&lt;=Swap2x2!$B$10,B333&lt;=$D$2*(1+1E-7)),1,0)</f>
        <v/>
      </c>
    </row>
    <row r="334">
      <c r="A334" t="n">
        <v>332</v>
      </c>
      <c r="B334">
        <f>IF(A334&lt;=Swap2x2!$B$10,_xlfn.BINOM.DIST(A334,Swap2x2!$B$10,Swap2x2!$B$46,FALSE),0)</f>
        <v/>
      </c>
      <c r="C334">
        <f>IF(AND(A334&lt;=Swap2x2!$B$10,B334&lt;=$D$2*(1+1E-7)),1,0)</f>
        <v/>
      </c>
    </row>
    <row r="335">
      <c r="A335" t="n">
        <v>333</v>
      </c>
      <c r="B335">
        <f>IF(A335&lt;=Swap2x2!$B$10,_xlfn.BINOM.DIST(A335,Swap2x2!$B$10,Swap2x2!$B$46,FALSE),0)</f>
        <v/>
      </c>
      <c r="C335">
        <f>IF(AND(A335&lt;=Swap2x2!$B$10,B335&lt;=$D$2*(1+1E-7)),1,0)</f>
        <v/>
      </c>
    </row>
    <row r="336">
      <c r="A336" t="n">
        <v>334</v>
      </c>
      <c r="B336">
        <f>IF(A336&lt;=Swap2x2!$B$10,_xlfn.BINOM.DIST(A336,Swap2x2!$B$10,Swap2x2!$B$46,FALSE),0)</f>
        <v/>
      </c>
      <c r="C336">
        <f>IF(AND(A336&lt;=Swap2x2!$B$10,B336&lt;=$D$2*(1+1E-7)),1,0)</f>
        <v/>
      </c>
    </row>
    <row r="337">
      <c r="A337" t="n">
        <v>335</v>
      </c>
      <c r="B337">
        <f>IF(A337&lt;=Swap2x2!$B$10,_xlfn.BINOM.DIST(A337,Swap2x2!$B$10,Swap2x2!$B$46,FALSE),0)</f>
        <v/>
      </c>
      <c r="C337">
        <f>IF(AND(A337&lt;=Swap2x2!$B$10,B337&lt;=$D$2*(1+1E-7)),1,0)</f>
        <v/>
      </c>
    </row>
    <row r="338">
      <c r="A338" t="n">
        <v>336</v>
      </c>
      <c r="B338">
        <f>IF(A338&lt;=Swap2x2!$B$10,_xlfn.BINOM.DIST(A338,Swap2x2!$B$10,Swap2x2!$B$46,FALSE),0)</f>
        <v/>
      </c>
      <c r="C338">
        <f>IF(AND(A338&lt;=Swap2x2!$B$10,B338&lt;=$D$2*(1+1E-7)),1,0)</f>
        <v/>
      </c>
    </row>
    <row r="339">
      <c r="A339" t="n">
        <v>337</v>
      </c>
      <c r="B339">
        <f>IF(A339&lt;=Swap2x2!$B$10,_xlfn.BINOM.DIST(A339,Swap2x2!$B$10,Swap2x2!$B$46,FALSE),0)</f>
        <v/>
      </c>
      <c r="C339">
        <f>IF(AND(A339&lt;=Swap2x2!$B$10,B339&lt;=$D$2*(1+1E-7)),1,0)</f>
        <v/>
      </c>
    </row>
    <row r="340">
      <c r="A340" t="n">
        <v>338</v>
      </c>
      <c r="B340">
        <f>IF(A340&lt;=Swap2x2!$B$10,_xlfn.BINOM.DIST(A340,Swap2x2!$B$10,Swap2x2!$B$46,FALSE),0)</f>
        <v/>
      </c>
      <c r="C340">
        <f>IF(AND(A340&lt;=Swap2x2!$B$10,B340&lt;=$D$2*(1+1E-7)),1,0)</f>
        <v/>
      </c>
    </row>
    <row r="341">
      <c r="A341" t="n">
        <v>339</v>
      </c>
      <c r="B341">
        <f>IF(A341&lt;=Swap2x2!$B$10,_xlfn.BINOM.DIST(A341,Swap2x2!$B$10,Swap2x2!$B$46,FALSE),0)</f>
        <v/>
      </c>
      <c r="C341">
        <f>IF(AND(A341&lt;=Swap2x2!$B$10,B341&lt;=$D$2*(1+1E-7)),1,0)</f>
        <v/>
      </c>
    </row>
    <row r="342">
      <c r="A342" t="n">
        <v>340</v>
      </c>
      <c r="B342">
        <f>IF(A342&lt;=Swap2x2!$B$10,_xlfn.BINOM.DIST(A342,Swap2x2!$B$10,Swap2x2!$B$46,FALSE),0)</f>
        <v/>
      </c>
      <c r="C342">
        <f>IF(AND(A342&lt;=Swap2x2!$B$10,B342&lt;=$D$2*(1+1E-7)),1,0)</f>
        <v/>
      </c>
    </row>
    <row r="343">
      <c r="A343" t="n">
        <v>341</v>
      </c>
      <c r="B343">
        <f>IF(A343&lt;=Swap2x2!$B$10,_xlfn.BINOM.DIST(A343,Swap2x2!$B$10,Swap2x2!$B$46,FALSE),0)</f>
        <v/>
      </c>
      <c r="C343">
        <f>IF(AND(A343&lt;=Swap2x2!$B$10,B343&lt;=$D$2*(1+1E-7)),1,0)</f>
        <v/>
      </c>
    </row>
    <row r="344">
      <c r="A344" t="n">
        <v>342</v>
      </c>
      <c r="B344">
        <f>IF(A344&lt;=Swap2x2!$B$10,_xlfn.BINOM.DIST(A344,Swap2x2!$B$10,Swap2x2!$B$46,FALSE),0)</f>
        <v/>
      </c>
      <c r="C344">
        <f>IF(AND(A344&lt;=Swap2x2!$B$10,B344&lt;=$D$2*(1+1E-7)),1,0)</f>
        <v/>
      </c>
    </row>
    <row r="345">
      <c r="A345" t="n">
        <v>343</v>
      </c>
      <c r="B345">
        <f>IF(A345&lt;=Swap2x2!$B$10,_xlfn.BINOM.DIST(A345,Swap2x2!$B$10,Swap2x2!$B$46,FALSE),0)</f>
        <v/>
      </c>
      <c r="C345">
        <f>IF(AND(A345&lt;=Swap2x2!$B$10,B345&lt;=$D$2*(1+1E-7)),1,0)</f>
        <v/>
      </c>
    </row>
    <row r="346">
      <c r="A346" t="n">
        <v>344</v>
      </c>
      <c r="B346">
        <f>IF(A346&lt;=Swap2x2!$B$10,_xlfn.BINOM.DIST(A346,Swap2x2!$B$10,Swap2x2!$B$46,FALSE),0)</f>
        <v/>
      </c>
      <c r="C346">
        <f>IF(AND(A346&lt;=Swap2x2!$B$10,B346&lt;=$D$2*(1+1E-7)),1,0)</f>
        <v/>
      </c>
    </row>
    <row r="347">
      <c r="A347" t="n">
        <v>345</v>
      </c>
      <c r="B347">
        <f>IF(A347&lt;=Swap2x2!$B$10,_xlfn.BINOM.DIST(A347,Swap2x2!$B$10,Swap2x2!$B$46,FALSE),0)</f>
        <v/>
      </c>
      <c r="C347">
        <f>IF(AND(A347&lt;=Swap2x2!$B$10,B347&lt;=$D$2*(1+1E-7)),1,0)</f>
        <v/>
      </c>
    </row>
    <row r="348">
      <c r="A348" t="n">
        <v>346</v>
      </c>
      <c r="B348">
        <f>IF(A348&lt;=Swap2x2!$B$10,_xlfn.BINOM.DIST(A348,Swap2x2!$B$10,Swap2x2!$B$46,FALSE),0)</f>
        <v/>
      </c>
      <c r="C348">
        <f>IF(AND(A348&lt;=Swap2x2!$B$10,B348&lt;=$D$2*(1+1E-7)),1,0)</f>
        <v/>
      </c>
    </row>
    <row r="349">
      <c r="A349" t="n">
        <v>347</v>
      </c>
      <c r="B349">
        <f>IF(A349&lt;=Swap2x2!$B$10,_xlfn.BINOM.DIST(A349,Swap2x2!$B$10,Swap2x2!$B$46,FALSE),0)</f>
        <v/>
      </c>
      <c r="C349">
        <f>IF(AND(A349&lt;=Swap2x2!$B$10,B349&lt;=$D$2*(1+1E-7)),1,0)</f>
        <v/>
      </c>
    </row>
    <row r="350">
      <c r="A350" t="n">
        <v>348</v>
      </c>
      <c r="B350">
        <f>IF(A350&lt;=Swap2x2!$B$10,_xlfn.BINOM.DIST(A350,Swap2x2!$B$10,Swap2x2!$B$46,FALSE),0)</f>
        <v/>
      </c>
      <c r="C350">
        <f>IF(AND(A350&lt;=Swap2x2!$B$10,B350&lt;=$D$2*(1+1E-7)),1,0)</f>
        <v/>
      </c>
    </row>
    <row r="351">
      <c r="A351" t="n">
        <v>349</v>
      </c>
      <c r="B351">
        <f>IF(A351&lt;=Swap2x2!$B$10,_xlfn.BINOM.DIST(A351,Swap2x2!$B$10,Swap2x2!$B$46,FALSE),0)</f>
        <v/>
      </c>
      <c r="C351">
        <f>IF(AND(A351&lt;=Swap2x2!$B$10,B351&lt;=$D$2*(1+1E-7)),1,0)</f>
        <v/>
      </c>
    </row>
    <row r="352">
      <c r="A352" t="n">
        <v>350</v>
      </c>
      <c r="B352">
        <f>IF(A352&lt;=Swap2x2!$B$10,_xlfn.BINOM.DIST(A352,Swap2x2!$B$10,Swap2x2!$B$46,FALSE),0)</f>
        <v/>
      </c>
      <c r="C352">
        <f>IF(AND(A352&lt;=Swap2x2!$B$10,B352&lt;=$D$2*(1+1E-7)),1,0)</f>
        <v/>
      </c>
    </row>
    <row r="353">
      <c r="A353" t="n">
        <v>351</v>
      </c>
      <c r="B353">
        <f>IF(A353&lt;=Swap2x2!$B$10,_xlfn.BINOM.DIST(A353,Swap2x2!$B$10,Swap2x2!$B$46,FALSE),0)</f>
        <v/>
      </c>
      <c r="C353">
        <f>IF(AND(A353&lt;=Swap2x2!$B$10,B353&lt;=$D$2*(1+1E-7)),1,0)</f>
        <v/>
      </c>
    </row>
    <row r="354">
      <c r="A354" t="n">
        <v>352</v>
      </c>
      <c r="B354">
        <f>IF(A354&lt;=Swap2x2!$B$10,_xlfn.BINOM.DIST(A354,Swap2x2!$B$10,Swap2x2!$B$46,FALSE),0)</f>
        <v/>
      </c>
      <c r="C354">
        <f>IF(AND(A354&lt;=Swap2x2!$B$10,B354&lt;=$D$2*(1+1E-7)),1,0)</f>
        <v/>
      </c>
    </row>
    <row r="355">
      <c r="A355" t="n">
        <v>353</v>
      </c>
      <c r="B355">
        <f>IF(A355&lt;=Swap2x2!$B$10,_xlfn.BINOM.DIST(A355,Swap2x2!$B$10,Swap2x2!$B$46,FALSE),0)</f>
        <v/>
      </c>
      <c r="C355">
        <f>IF(AND(A355&lt;=Swap2x2!$B$10,B355&lt;=$D$2*(1+1E-7)),1,0)</f>
        <v/>
      </c>
    </row>
    <row r="356">
      <c r="A356" t="n">
        <v>354</v>
      </c>
      <c r="B356">
        <f>IF(A356&lt;=Swap2x2!$B$10,_xlfn.BINOM.DIST(A356,Swap2x2!$B$10,Swap2x2!$B$46,FALSE),0)</f>
        <v/>
      </c>
      <c r="C356">
        <f>IF(AND(A356&lt;=Swap2x2!$B$10,B356&lt;=$D$2*(1+1E-7)),1,0)</f>
        <v/>
      </c>
    </row>
    <row r="357">
      <c r="A357" t="n">
        <v>355</v>
      </c>
      <c r="B357">
        <f>IF(A357&lt;=Swap2x2!$B$10,_xlfn.BINOM.DIST(A357,Swap2x2!$B$10,Swap2x2!$B$46,FALSE),0)</f>
        <v/>
      </c>
      <c r="C357">
        <f>IF(AND(A357&lt;=Swap2x2!$B$10,B357&lt;=$D$2*(1+1E-7)),1,0)</f>
        <v/>
      </c>
    </row>
    <row r="358">
      <c r="A358" t="n">
        <v>356</v>
      </c>
      <c r="B358">
        <f>IF(A358&lt;=Swap2x2!$B$10,_xlfn.BINOM.DIST(A358,Swap2x2!$B$10,Swap2x2!$B$46,FALSE),0)</f>
        <v/>
      </c>
      <c r="C358">
        <f>IF(AND(A358&lt;=Swap2x2!$B$10,B358&lt;=$D$2*(1+1E-7)),1,0)</f>
        <v/>
      </c>
    </row>
    <row r="359">
      <c r="A359" t="n">
        <v>357</v>
      </c>
      <c r="B359">
        <f>IF(A359&lt;=Swap2x2!$B$10,_xlfn.BINOM.DIST(A359,Swap2x2!$B$10,Swap2x2!$B$46,FALSE),0)</f>
        <v/>
      </c>
      <c r="C359">
        <f>IF(AND(A359&lt;=Swap2x2!$B$10,B359&lt;=$D$2*(1+1E-7)),1,0)</f>
        <v/>
      </c>
    </row>
    <row r="360">
      <c r="A360" t="n">
        <v>358</v>
      </c>
      <c r="B360">
        <f>IF(A360&lt;=Swap2x2!$B$10,_xlfn.BINOM.DIST(A360,Swap2x2!$B$10,Swap2x2!$B$46,FALSE),0)</f>
        <v/>
      </c>
      <c r="C360">
        <f>IF(AND(A360&lt;=Swap2x2!$B$10,B360&lt;=$D$2*(1+1E-7)),1,0)</f>
        <v/>
      </c>
    </row>
    <row r="361">
      <c r="A361" t="n">
        <v>359</v>
      </c>
      <c r="B361">
        <f>IF(A361&lt;=Swap2x2!$B$10,_xlfn.BINOM.DIST(A361,Swap2x2!$B$10,Swap2x2!$B$46,FALSE),0)</f>
        <v/>
      </c>
      <c r="C361">
        <f>IF(AND(A361&lt;=Swap2x2!$B$10,B361&lt;=$D$2*(1+1E-7)),1,0)</f>
        <v/>
      </c>
    </row>
    <row r="362">
      <c r="A362" t="n">
        <v>360</v>
      </c>
      <c r="B362">
        <f>IF(A362&lt;=Swap2x2!$B$10,_xlfn.BINOM.DIST(A362,Swap2x2!$B$10,Swap2x2!$B$46,FALSE),0)</f>
        <v/>
      </c>
      <c r="C362">
        <f>IF(AND(A362&lt;=Swap2x2!$B$10,B362&lt;=$D$2*(1+1E-7)),1,0)</f>
        <v/>
      </c>
    </row>
    <row r="363">
      <c r="A363" t="n">
        <v>361</v>
      </c>
      <c r="B363">
        <f>IF(A363&lt;=Swap2x2!$B$10,_xlfn.BINOM.DIST(A363,Swap2x2!$B$10,Swap2x2!$B$46,FALSE),0)</f>
        <v/>
      </c>
      <c r="C363">
        <f>IF(AND(A363&lt;=Swap2x2!$B$10,B363&lt;=$D$2*(1+1E-7)),1,0)</f>
        <v/>
      </c>
    </row>
    <row r="364">
      <c r="A364" t="n">
        <v>362</v>
      </c>
      <c r="B364">
        <f>IF(A364&lt;=Swap2x2!$B$10,_xlfn.BINOM.DIST(A364,Swap2x2!$B$10,Swap2x2!$B$46,FALSE),0)</f>
        <v/>
      </c>
      <c r="C364">
        <f>IF(AND(A364&lt;=Swap2x2!$B$10,B364&lt;=$D$2*(1+1E-7)),1,0)</f>
        <v/>
      </c>
    </row>
    <row r="365">
      <c r="A365" t="n">
        <v>363</v>
      </c>
      <c r="B365">
        <f>IF(A365&lt;=Swap2x2!$B$10,_xlfn.BINOM.DIST(A365,Swap2x2!$B$10,Swap2x2!$B$46,FALSE),0)</f>
        <v/>
      </c>
      <c r="C365">
        <f>IF(AND(A365&lt;=Swap2x2!$B$10,B365&lt;=$D$2*(1+1E-7)),1,0)</f>
        <v/>
      </c>
    </row>
    <row r="366">
      <c r="A366" t="n">
        <v>364</v>
      </c>
      <c r="B366">
        <f>IF(A366&lt;=Swap2x2!$B$10,_xlfn.BINOM.DIST(A366,Swap2x2!$B$10,Swap2x2!$B$46,FALSE),0)</f>
        <v/>
      </c>
      <c r="C366">
        <f>IF(AND(A366&lt;=Swap2x2!$B$10,B366&lt;=$D$2*(1+1E-7)),1,0)</f>
        <v/>
      </c>
    </row>
    <row r="367">
      <c r="A367" t="n">
        <v>365</v>
      </c>
      <c r="B367">
        <f>IF(A367&lt;=Swap2x2!$B$10,_xlfn.BINOM.DIST(A367,Swap2x2!$B$10,Swap2x2!$B$46,FALSE),0)</f>
        <v/>
      </c>
      <c r="C367">
        <f>IF(AND(A367&lt;=Swap2x2!$B$10,B367&lt;=$D$2*(1+1E-7)),1,0)</f>
        <v/>
      </c>
    </row>
    <row r="368">
      <c r="A368" t="n">
        <v>366</v>
      </c>
      <c r="B368">
        <f>IF(A368&lt;=Swap2x2!$B$10,_xlfn.BINOM.DIST(A368,Swap2x2!$B$10,Swap2x2!$B$46,FALSE),0)</f>
        <v/>
      </c>
      <c r="C368">
        <f>IF(AND(A368&lt;=Swap2x2!$B$10,B368&lt;=$D$2*(1+1E-7)),1,0)</f>
        <v/>
      </c>
    </row>
    <row r="369">
      <c r="A369" t="n">
        <v>367</v>
      </c>
      <c r="B369">
        <f>IF(A369&lt;=Swap2x2!$B$10,_xlfn.BINOM.DIST(A369,Swap2x2!$B$10,Swap2x2!$B$46,FALSE),0)</f>
        <v/>
      </c>
      <c r="C369">
        <f>IF(AND(A369&lt;=Swap2x2!$B$10,B369&lt;=$D$2*(1+1E-7)),1,0)</f>
        <v/>
      </c>
    </row>
    <row r="370">
      <c r="A370" t="n">
        <v>368</v>
      </c>
      <c r="B370">
        <f>IF(A370&lt;=Swap2x2!$B$10,_xlfn.BINOM.DIST(A370,Swap2x2!$B$10,Swap2x2!$B$46,FALSE),0)</f>
        <v/>
      </c>
      <c r="C370">
        <f>IF(AND(A370&lt;=Swap2x2!$B$10,B370&lt;=$D$2*(1+1E-7)),1,0)</f>
        <v/>
      </c>
    </row>
    <row r="371">
      <c r="A371" t="n">
        <v>369</v>
      </c>
      <c r="B371">
        <f>IF(A371&lt;=Swap2x2!$B$10,_xlfn.BINOM.DIST(A371,Swap2x2!$B$10,Swap2x2!$B$46,FALSE),0)</f>
        <v/>
      </c>
      <c r="C371">
        <f>IF(AND(A371&lt;=Swap2x2!$B$10,B371&lt;=$D$2*(1+1E-7)),1,0)</f>
        <v/>
      </c>
    </row>
    <row r="372">
      <c r="A372" t="n">
        <v>370</v>
      </c>
      <c r="B372">
        <f>IF(A372&lt;=Swap2x2!$B$10,_xlfn.BINOM.DIST(A372,Swap2x2!$B$10,Swap2x2!$B$46,FALSE),0)</f>
        <v/>
      </c>
      <c r="C372">
        <f>IF(AND(A372&lt;=Swap2x2!$B$10,B372&lt;=$D$2*(1+1E-7)),1,0)</f>
        <v/>
      </c>
    </row>
    <row r="373">
      <c r="A373" t="n">
        <v>371</v>
      </c>
      <c r="B373">
        <f>IF(A373&lt;=Swap2x2!$B$10,_xlfn.BINOM.DIST(A373,Swap2x2!$B$10,Swap2x2!$B$46,FALSE),0)</f>
        <v/>
      </c>
      <c r="C373">
        <f>IF(AND(A373&lt;=Swap2x2!$B$10,B373&lt;=$D$2*(1+1E-7)),1,0)</f>
        <v/>
      </c>
    </row>
    <row r="374">
      <c r="A374" t="n">
        <v>372</v>
      </c>
      <c r="B374">
        <f>IF(A374&lt;=Swap2x2!$B$10,_xlfn.BINOM.DIST(A374,Swap2x2!$B$10,Swap2x2!$B$46,FALSE),0)</f>
        <v/>
      </c>
      <c r="C374">
        <f>IF(AND(A374&lt;=Swap2x2!$B$10,B374&lt;=$D$2*(1+1E-7)),1,0)</f>
        <v/>
      </c>
    </row>
    <row r="375">
      <c r="A375" t="n">
        <v>373</v>
      </c>
      <c r="B375">
        <f>IF(A375&lt;=Swap2x2!$B$10,_xlfn.BINOM.DIST(A375,Swap2x2!$B$10,Swap2x2!$B$46,FALSE),0)</f>
        <v/>
      </c>
      <c r="C375">
        <f>IF(AND(A375&lt;=Swap2x2!$B$10,B375&lt;=$D$2*(1+1E-7)),1,0)</f>
        <v/>
      </c>
    </row>
    <row r="376">
      <c r="A376" t="n">
        <v>374</v>
      </c>
      <c r="B376">
        <f>IF(A376&lt;=Swap2x2!$B$10,_xlfn.BINOM.DIST(A376,Swap2x2!$B$10,Swap2x2!$B$46,FALSE),0)</f>
        <v/>
      </c>
      <c r="C376">
        <f>IF(AND(A376&lt;=Swap2x2!$B$10,B376&lt;=$D$2*(1+1E-7)),1,0)</f>
        <v/>
      </c>
    </row>
    <row r="377">
      <c r="A377" t="n">
        <v>375</v>
      </c>
      <c r="B377">
        <f>IF(A377&lt;=Swap2x2!$B$10,_xlfn.BINOM.DIST(A377,Swap2x2!$B$10,Swap2x2!$B$46,FALSE),0)</f>
        <v/>
      </c>
      <c r="C377">
        <f>IF(AND(A377&lt;=Swap2x2!$B$10,B377&lt;=$D$2*(1+1E-7)),1,0)</f>
        <v/>
      </c>
    </row>
    <row r="378">
      <c r="A378" t="n">
        <v>376</v>
      </c>
      <c r="B378">
        <f>IF(A378&lt;=Swap2x2!$B$10,_xlfn.BINOM.DIST(A378,Swap2x2!$B$10,Swap2x2!$B$46,FALSE),0)</f>
        <v/>
      </c>
      <c r="C378">
        <f>IF(AND(A378&lt;=Swap2x2!$B$10,B378&lt;=$D$2*(1+1E-7)),1,0)</f>
        <v/>
      </c>
    </row>
    <row r="379">
      <c r="A379" t="n">
        <v>377</v>
      </c>
      <c r="B379">
        <f>IF(A379&lt;=Swap2x2!$B$10,_xlfn.BINOM.DIST(A379,Swap2x2!$B$10,Swap2x2!$B$46,FALSE),0)</f>
        <v/>
      </c>
      <c r="C379">
        <f>IF(AND(A379&lt;=Swap2x2!$B$10,B379&lt;=$D$2*(1+1E-7)),1,0)</f>
        <v/>
      </c>
    </row>
    <row r="380">
      <c r="A380" t="n">
        <v>378</v>
      </c>
      <c r="B380">
        <f>IF(A380&lt;=Swap2x2!$B$10,_xlfn.BINOM.DIST(A380,Swap2x2!$B$10,Swap2x2!$B$46,FALSE),0)</f>
        <v/>
      </c>
      <c r="C380">
        <f>IF(AND(A380&lt;=Swap2x2!$B$10,B380&lt;=$D$2*(1+1E-7)),1,0)</f>
        <v/>
      </c>
    </row>
    <row r="381">
      <c r="A381" t="n">
        <v>379</v>
      </c>
      <c r="B381">
        <f>IF(A381&lt;=Swap2x2!$B$10,_xlfn.BINOM.DIST(A381,Swap2x2!$B$10,Swap2x2!$B$46,FALSE),0)</f>
        <v/>
      </c>
      <c r="C381">
        <f>IF(AND(A381&lt;=Swap2x2!$B$10,B381&lt;=$D$2*(1+1E-7)),1,0)</f>
        <v/>
      </c>
    </row>
    <row r="382">
      <c r="A382" t="n">
        <v>380</v>
      </c>
      <c r="B382">
        <f>IF(A382&lt;=Swap2x2!$B$10,_xlfn.BINOM.DIST(A382,Swap2x2!$B$10,Swap2x2!$B$46,FALSE),0)</f>
        <v/>
      </c>
      <c r="C382">
        <f>IF(AND(A382&lt;=Swap2x2!$B$10,B382&lt;=$D$2*(1+1E-7)),1,0)</f>
        <v/>
      </c>
    </row>
    <row r="383">
      <c r="A383" t="n">
        <v>381</v>
      </c>
      <c r="B383">
        <f>IF(A383&lt;=Swap2x2!$B$10,_xlfn.BINOM.DIST(A383,Swap2x2!$B$10,Swap2x2!$B$46,FALSE),0)</f>
        <v/>
      </c>
      <c r="C383">
        <f>IF(AND(A383&lt;=Swap2x2!$B$10,B383&lt;=$D$2*(1+1E-7)),1,0)</f>
        <v/>
      </c>
    </row>
    <row r="384">
      <c r="A384" t="n">
        <v>382</v>
      </c>
      <c r="B384">
        <f>IF(A384&lt;=Swap2x2!$B$10,_xlfn.BINOM.DIST(A384,Swap2x2!$B$10,Swap2x2!$B$46,FALSE),0)</f>
        <v/>
      </c>
      <c r="C384">
        <f>IF(AND(A384&lt;=Swap2x2!$B$10,B384&lt;=$D$2*(1+1E-7)),1,0)</f>
        <v/>
      </c>
    </row>
    <row r="385">
      <c r="A385" t="n">
        <v>383</v>
      </c>
      <c r="B385">
        <f>IF(A385&lt;=Swap2x2!$B$10,_xlfn.BINOM.DIST(A385,Swap2x2!$B$10,Swap2x2!$B$46,FALSE),0)</f>
        <v/>
      </c>
      <c r="C385">
        <f>IF(AND(A385&lt;=Swap2x2!$B$10,B385&lt;=$D$2*(1+1E-7)),1,0)</f>
        <v/>
      </c>
    </row>
    <row r="386">
      <c r="A386" t="n">
        <v>384</v>
      </c>
      <c r="B386">
        <f>IF(A386&lt;=Swap2x2!$B$10,_xlfn.BINOM.DIST(A386,Swap2x2!$B$10,Swap2x2!$B$46,FALSE),0)</f>
        <v/>
      </c>
      <c r="C386">
        <f>IF(AND(A386&lt;=Swap2x2!$B$10,B386&lt;=$D$2*(1+1E-7)),1,0)</f>
        <v/>
      </c>
    </row>
    <row r="387">
      <c r="A387" t="n">
        <v>385</v>
      </c>
      <c r="B387">
        <f>IF(A387&lt;=Swap2x2!$B$10,_xlfn.BINOM.DIST(A387,Swap2x2!$B$10,Swap2x2!$B$46,FALSE),0)</f>
        <v/>
      </c>
      <c r="C387">
        <f>IF(AND(A387&lt;=Swap2x2!$B$10,B387&lt;=$D$2*(1+1E-7)),1,0)</f>
        <v/>
      </c>
    </row>
    <row r="388">
      <c r="A388" t="n">
        <v>386</v>
      </c>
      <c r="B388">
        <f>IF(A388&lt;=Swap2x2!$B$10,_xlfn.BINOM.DIST(A388,Swap2x2!$B$10,Swap2x2!$B$46,FALSE),0)</f>
        <v/>
      </c>
      <c r="C388">
        <f>IF(AND(A388&lt;=Swap2x2!$B$10,B388&lt;=$D$2*(1+1E-7)),1,0)</f>
        <v/>
      </c>
    </row>
    <row r="389">
      <c r="A389" t="n">
        <v>387</v>
      </c>
      <c r="B389">
        <f>IF(A389&lt;=Swap2x2!$B$10,_xlfn.BINOM.DIST(A389,Swap2x2!$B$10,Swap2x2!$B$46,FALSE),0)</f>
        <v/>
      </c>
      <c r="C389">
        <f>IF(AND(A389&lt;=Swap2x2!$B$10,B389&lt;=$D$2*(1+1E-7)),1,0)</f>
        <v/>
      </c>
    </row>
    <row r="390">
      <c r="A390" t="n">
        <v>388</v>
      </c>
      <c r="B390">
        <f>IF(A390&lt;=Swap2x2!$B$10,_xlfn.BINOM.DIST(A390,Swap2x2!$B$10,Swap2x2!$B$46,FALSE),0)</f>
        <v/>
      </c>
      <c r="C390">
        <f>IF(AND(A390&lt;=Swap2x2!$B$10,B390&lt;=$D$2*(1+1E-7)),1,0)</f>
        <v/>
      </c>
    </row>
    <row r="391">
      <c r="A391" t="n">
        <v>389</v>
      </c>
      <c r="B391">
        <f>IF(A391&lt;=Swap2x2!$B$10,_xlfn.BINOM.DIST(A391,Swap2x2!$B$10,Swap2x2!$B$46,FALSE),0)</f>
        <v/>
      </c>
      <c r="C391">
        <f>IF(AND(A391&lt;=Swap2x2!$B$10,B391&lt;=$D$2*(1+1E-7)),1,0)</f>
        <v/>
      </c>
    </row>
    <row r="392">
      <c r="A392" t="n">
        <v>390</v>
      </c>
      <c r="B392">
        <f>IF(A392&lt;=Swap2x2!$B$10,_xlfn.BINOM.DIST(A392,Swap2x2!$B$10,Swap2x2!$B$46,FALSE),0)</f>
        <v/>
      </c>
      <c r="C392">
        <f>IF(AND(A392&lt;=Swap2x2!$B$10,B392&lt;=$D$2*(1+1E-7)),1,0)</f>
        <v/>
      </c>
    </row>
    <row r="393">
      <c r="A393" t="n">
        <v>391</v>
      </c>
      <c r="B393">
        <f>IF(A393&lt;=Swap2x2!$B$10,_xlfn.BINOM.DIST(A393,Swap2x2!$B$10,Swap2x2!$B$46,FALSE),0)</f>
        <v/>
      </c>
      <c r="C393">
        <f>IF(AND(A393&lt;=Swap2x2!$B$10,B393&lt;=$D$2*(1+1E-7)),1,0)</f>
        <v/>
      </c>
    </row>
    <row r="394">
      <c r="A394" t="n">
        <v>392</v>
      </c>
      <c r="B394">
        <f>IF(A394&lt;=Swap2x2!$B$10,_xlfn.BINOM.DIST(A394,Swap2x2!$B$10,Swap2x2!$B$46,FALSE),0)</f>
        <v/>
      </c>
      <c r="C394">
        <f>IF(AND(A394&lt;=Swap2x2!$B$10,B394&lt;=$D$2*(1+1E-7)),1,0)</f>
        <v/>
      </c>
    </row>
    <row r="395">
      <c r="A395" t="n">
        <v>393</v>
      </c>
      <c r="B395">
        <f>IF(A395&lt;=Swap2x2!$B$10,_xlfn.BINOM.DIST(A395,Swap2x2!$B$10,Swap2x2!$B$46,FALSE),0)</f>
        <v/>
      </c>
      <c r="C395">
        <f>IF(AND(A395&lt;=Swap2x2!$B$10,B395&lt;=$D$2*(1+1E-7)),1,0)</f>
        <v/>
      </c>
    </row>
    <row r="396">
      <c r="A396" t="n">
        <v>394</v>
      </c>
      <c r="B396">
        <f>IF(A396&lt;=Swap2x2!$B$10,_xlfn.BINOM.DIST(A396,Swap2x2!$B$10,Swap2x2!$B$46,FALSE),0)</f>
        <v/>
      </c>
      <c r="C396">
        <f>IF(AND(A396&lt;=Swap2x2!$B$10,B396&lt;=$D$2*(1+1E-7)),1,0)</f>
        <v/>
      </c>
    </row>
    <row r="397">
      <c r="A397" t="n">
        <v>395</v>
      </c>
      <c r="B397">
        <f>IF(A397&lt;=Swap2x2!$B$10,_xlfn.BINOM.DIST(A397,Swap2x2!$B$10,Swap2x2!$B$46,FALSE),0)</f>
        <v/>
      </c>
      <c r="C397">
        <f>IF(AND(A397&lt;=Swap2x2!$B$10,B397&lt;=$D$2*(1+1E-7)),1,0)</f>
        <v/>
      </c>
    </row>
    <row r="398">
      <c r="A398" t="n">
        <v>396</v>
      </c>
      <c r="B398">
        <f>IF(A398&lt;=Swap2x2!$B$10,_xlfn.BINOM.DIST(A398,Swap2x2!$B$10,Swap2x2!$B$46,FALSE),0)</f>
        <v/>
      </c>
      <c r="C398">
        <f>IF(AND(A398&lt;=Swap2x2!$B$10,B398&lt;=$D$2*(1+1E-7)),1,0)</f>
        <v/>
      </c>
    </row>
    <row r="399">
      <c r="A399" t="n">
        <v>397</v>
      </c>
      <c r="B399">
        <f>IF(A399&lt;=Swap2x2!$B$10,_xlfn.BINOM.DIST(A399,Swap2x2!$B$10,Swap2x2!$B$46,FALSE),0)</f>
        <v/>
      </c>
      <c r="C399">
        <f>IF(AND(A399&lt;=Swap2x2!$B$10,B399&lt;=$D$2*(1+1E-7)),1,0)</f>
        <v/>
      </c>
    </row>
    <row r="400">
      <c r="A400" t="n">
        <v>398</v>
      </c>
      <c r="B400">
        <f>IF(A400&lt;=Swap2x2!$B$10,_xlfn.BINOM.DIST(A400,Swap2x2!$B$10,Swap2x2!$B$46,FALSE),0)</f>
        <v/>
      </c>
      <c r="C400">
        <f>IF(AND(A400&lt;=Swap2x2!$B$10,B400&lt;=$D$2*(1+1E-7)),1,0)</f>
        <v/>
      </c>
    </row>
    <row r="401">
      <c r="A401" t="n">
        <v>399</v>
      </c>
      <c r="B401">
        <f>IF(A401&lt;=Swap2x2!$B$10,_xlfn.BINOM.DIST(A401,Swap2x2!$B$10,Swap2x2!$B$46,FALSE),0)</f>
        <v/>
      </c>
      <c r="C401">
        <f>IF(AND(A401&lt;=Swap2x2!$B$10,B401&lt;=$D$2*(1+1E-7)),1,0)</f>
        <v/>
      </c>
    </row>
    <row r="402">
      <c r="A402" t="n">
        <v>400</v>
      </c>
      <c r="B402">
        <f>IF(A402&lt;=Swap2x2!$B$10,_xlfn.BINOM.DIST(A402,Swap2x2!$B$10,Swap2x2!$B$46,FALSE),0)</f>
        <v/>
      </c>
      <c r="C402">
        <f>IF(AND(A402&lt;=Swap2x2!$B$10,B402&lt;=$D$2*(1+1E-7)),1,0)</f>
        <v/>
      </c>
    </row>
    <row r="403">
      <c r="A403" t="n">
        <v>401</v>
      </c>
      <c r="B403">
        <f>IF(A403&lt;=Swap2x2!$B$10,_xlfn.BINOM.DIST(A403,Swap2x2!$B$10,Swap2x2!$B$46,FALSE),0)</f>
        <v/>
      </c>
      <c r="C403">
        <f>IF(AND(A403&lt;=Swap2x2!$B$10,B403&lt;=$D$2*(1+1E-7)),1,0)</f>
        <v/>
      </c>
    </row>
    <row r="404">
      <c r="A404" t="n">
        <v>402</v>
      </c>
      <c r="B404">
        <f>IF(A404&lt;=Swap2x2!$B$10,_xlfn.BINOM.DIST(A404,Swap2x2!$B$10,Swap2x2!$B$46,FALSE),0)</f>
        <v/>
      </c>
      <c r="C404">
        <f>IF(AND(A404&lt;=Swap2x2!$B$10,B404&lt;=$D$2*(1+1E-7)),1,0)</f>
        <v/>
      </c>
    </row>
    <row r="405">
      <c r="A405" t="n">
        <v>403</v>
      </c>
      <c r="B405">
        <f>IF(A405&lt;=Swap2x2!$B$10,_xlfn.BINOM.DIST(A405,Swap2x2!$B$10,Swap2x2!$B$46,FALSE),0)</f>
        <v/>
      </c>
      <c r="C405">
        <f>IF(AND(A405&lt;=Swap2x2!$B$10,B405&lt;=$D$2*(1+1E-7)),1,0)</f>
        <v/>
      </c>
    </row>
    <row r="406">
      <c r="A406" t="n">
        <v>404</v>
      </c>
      <c r="B406">
        <f>IF(A406&lt;=Swap2x2!$B$10,_xlfn.BINOM.DIST(A406,Swap2x2!$B$10,Swap2x2!$B$46,FALSE),0)</f>
        <v/>
      </c>
      <c r="C406">
        <f>IF(AND(A406&lt;=Swap2x2!$B$10,B406&lt;=$D$2*(1+1E-7)),1,0)</f>
        <v/>
      </c>
    </row>
    <row r="407">
      <c r="A407" t="n">
        <v>405</v>
      </c>
      <c r="B407">
        <f>IF(A407&lt;=Swap2x2!$B$10,_xlfn.BINOM.DIST(A407,Swap2x2!$B$10,Swap2x2!$B$46,FALSE),0)</f>
        <v/>
      </c>
      <c r="C407">
        <f>IF(AND(A407&lt;=Swap2x2!$B$10,B407&lt;=$D$2*(1+1E-7)),1,0)</f>
        <v/>
      </c>
    </row>
    <row r="408">
      <c r="A408" t="n">
        <v>406</v>
      </c>
      <c r="B408">
        <f>IF(A408&lt;=Swap2x2!$B$10,_xlfn.BINOM.DIST(A408,Swap2x2!$B$10,Swap2x2!$B$46,FALSE),0)</f>
        <v/>
      </c>
      <c r="C408">
        <f>IF(AND(A408&lt;=Swap2x2!$B$10,B408&lt;=$D$2*(1+1E-7)),1,0)</f>
        <v/>
      </c>
    </row>
    <row r="409">
      <c r="A409" t="n">
        <v>407</v>
      </c>
      <c r="B409">
        <f>IF(A409&lt;=Swap2x2!$B$10,_xlfn.BINOM.DIST(A409,Swap2x2!$B$10,Swap2x2!$B$46,FALSE),0)</f>
        <v/>
      </c>
      <c r="C409">
        <f>IF(AND(A409&lt;=Swap2x2!$B$10,B409&lt;=$D$2*(1+1E-7)),1,0)</f>
        <v/>
      </c>
    </row>
    <row r="410">
      <c r="A410" t="n">
        <v>408</v>
      </c>
      <c r="B410">
        <f>IF(A410&lt;=Swap2x2!$B$10,_xlfn.BINOM.DIST(A410,Swap2x2!$B$10,Swap2x2!$B$46,FALSE),0)</f>
        <v/>
      </c>
      <c r="C410">
        <f>IF(AND(A410&lt;=Swap2x2!$B$10,B410&lt;=$D$2*(1+1E-7)),1,0)</f>
        <v/>
      </c>
    </row>
    <row r="411">
      <c r="A411" t="n">
        <v>409</v>
      </c>
      <c r="B411">
        <f>IF(A411&lt;=Swap2x2!$B$10,_xlfn.BINOM.DIST(A411,Swap2x2!$B$10,Swap2x2!$B$46,FALSE),0)</f>
        <v/>
      </c>
      <c r="C411">
        <f>IF(AND(A411&lt;=Swap2x2!$B$10,B411&lt;=$D$2*(1+1E-7)),1,0)</f>
        <v/>
      </c>
    </row>
    <row r="412">
      <c r="A412" t="n">
        <v>410</v>
      </c>
      <c r="B412">
        <f>IF(A412&lt;=Swap2x2!$B$10,_xlfn.BINOM.DIST(A412,Swap2x2!$B$10,Swap2x2!$B$46,FALSE),0)</f>
        <v/>
      </c>
      <c r="C412">
        <f>IF(AND(A412&lt;=Swap2x2!$B$10,B412&lt;=$D$2*(1+1E-7)),1,0)</f>
        <v/>
      </c>
    </row>
    <row r="413">
      <c r="A413" t="n">
        <v>411</v>
      </c>
      <c r="B413">
        <f>IF(A413&lt;=Swap2x2!$B$10,_xlfn.BINOM.DIST(A413,Swap2x2!$B$10,Swap2x2!$B$46,FALSE),0)</f>
        <v/>
      </c>
      <c r="C413">
        <f>IF(AND(A413&lt;=Swap2x2!$B$10,B413&lt;=$D$2*(1+1E-7)),1,0)</f>
        <v/>
      </c>
    </row>
    <row r="414">
      <c r="A414" t="n">
        <v>412</v>
      </c>
      <c r="B414">
        <f>IF(A414&lt;=Swap2x2!$B$10,_xlfn.BINOM.DIST(A414,Swap2x2!$B$10,Swap2x2!$B$46,FALSE),0)</f>
        <v/>
      </c>
      <c r="C414">
        <f>IF(AND(A414&lt;=Swap2x2!$B$10,B414&lt;=$D$2*(1+1E-7)),1,0)</f>
        <v/>
      </c>
    </row>
    <row r="415">
      <c r="A415" t="n">
        <v>413</v>
      </c>
      <c r="B415">
        <f>IF(A415&lt;=Swap2x2!$B$10,_xlfn.BINOM.DIST(A415,Swap2x2!$B$10,Swap2x2!$B$46,FALSE),0)</f>
        <v/>
      </c>
      <c r="C415">
        <f>IF(AND(A415&lt;=Swap2x2!$B$10,B415&lt;=$D$2*(1+1E-7)),1,0)</f>
        <v/>
      </c>
    </row>
    <row r="416">
      <c r="A416" t="n">
        <v>414</v>
      </c>
      <c r="B416">
        <f>IF(A416&lt;=Swap2x2!$B$10,_xlfn.BINOM.DIST(A416,Swap2x2!$B$10,Swap2x2!$B$46,FALSE),0)</f>
        <v/>
      </c>
      <c r="C416">
        <f>IF(AND(A416&lt;=Swap2x2!$B$10,B416&lt;=$D$2*(1+1E-7)),1,0)</f>
        <v/>
      </c>
    </row>
    <row r="417">
      <c r="A417" t="n">
        <v>415</v>
      </c>
      <c r="B417">
        <f>IF(A417&lt;=Swap2x2!$B$10,_xlfn.BINOM.DIST(A417,Swap2x2!$B$10,Swap2x2!$B$46,FALSE),0)</f>
        <v/>
      </c>
      <c r="C417">
        <f>IF(AND(A417&lt;=Swap2x2!$B$10,B417&lt;=$D$2*(1+1E-7)),1,0)</f>
        <v/>
      </c>
    </row>
    <row r="418">
      <c r="A418" t="n">
        <v>416</v>
      </c>
      <c r="B418">
        <f>IF(A418&lt;=Swap2x2!$B$10,_xlfn.BINOM.DIST(A418,Swap2x2!$B$10,Swap2x2!$B$46,FALSE),0)</f>
        <v/>
      </c>
      <c r="C418">
        <f>IF(AND(A418&lt;=Swap2x2!$B$10,B418&lt;=$D$2*(1+1E-7)),1,0)</f>
        <v/>
      </c>
    </row>
    <row r="419">
      <c r="A419" t="n">
        <v>417</v>
      </c>
      <c r="B419">
        <f>IF(A419&lt;=Swap2x2!$B$10,_xlfn.BINOM.DIST(A419,Swap2x2!$B$10,Swap2x2!$B$46,FALSE),0)</f>
        <v/>
      </c>
      <c r="C419">
        <f>IF(AND(A419&lt;=Swap2x2!$B$10,B419&lt;=$D$2*(1+1E-7)),1,0)</f>
        <v/>
      </c>
    </row>
    <row r="420">
      <c r="A420" t="n">
        <v>418</v>
      </c>
      <c r="B420">
        <f>IF(A420&lt;=Swap2x2!$B$10,_xlfn.BINOM.DIST(A420,Swap2x2!$B$10,Swap2x2!$B$46,FALSE),0)</f>
        <v/>
      </c>
      <c r="C420">
        <f>IF(AND(A420&lt;=Swap2x2!$B$10,B420&lt;=$D$2*(1+1E-7)),1,0)</f>
        <v/>
      </c>
    </row>
    <row r="421">
      <c r="A421" t="n">
        <v>419</v>
      </c>
      <c r="B421">
        <f>IF(A421&lt;=Swap2x2!$B$10,_xlfn.BINOM.DIST(A421,Swap2x2!$B$10,Swap2x2!$B$46,FALSE),0)</f>
        <v/>
      </c>
      <c r="C421">
        <f>IF(AND(A421&lt;=Swap2x2!$B$10,B421&lt;=$D$2*(1+1E-7)),1,0)</f>
        <v/>
      </c>
    </row>
    <row r="422">
      <c r="A422" t="n">
        <v>420</v>
      </c>
      <c r="B422">
        <f>IF(A422&lt;=Swap2x2!$B$10,_xlfn.BINOM.DIST(A422,Swap2x2!$B$10,Swap2x2!$B$46,FALSE),0)</f>
        <v/>
      </c>
      <c r="C422">
        <f>IF(AND(A422&lt;=Swap2x2!$B$10,B422&lt;=$D$2*(1+1E-7)),1,0)</f>
        <v/>
      </c>
    </row>
    <row r="423">
      <c r="A423" t="n">
        <v>421</v>
      </c>
      <c r="B423">
        <f>IF(A423&lt;=Swap2x2!$B$10,_xlfn.BINOM.DIST(A423,Swap2x2!$B$10,Swap2x2!$B$46,FALSE),0)</f>
        <v/>
      </c>
      <c r="C423">
        <f>IF(AND(A423&lt;=Swap2x2!$B$10,B423&lt;=$D$2*(1+1E-7)),1,0)</f>
        <v/>
      </c>
    </row>
    <row r="424">
      <c r="A424" t="n">
        <v>422</v>
      </c>
      <c r="B424">
        <f>IF(A424&lt;=Swap2x2!$B$10,_xlfn.BINOM.DIST(A424,Swap2x2!$B$10,Swap2x2!$B$46,FALSE),0)</f>
        <v/>
      </c>
      <c r="C424">
        <f>IF(AND(A424&lt;=Swap2x2!$B$10,B424&lt;=$D$2*(1+1E-7)),1,0)</f>
        <v/>
      </c>
    </row>
    <row r="425">
      <c r="A425" t="n">
        <v>423</v>
      </c>
      <c r="B425">
        <f>IF(A425&lt;=Swap2x2!$B$10,_xlfn.BINOM.DIST(A425,Swap2x2!$B$10,Swap2x2!$B$46,FALSE),0)</f>
        <v/>
      </c>
      <c r="C425">
        <f>IF(AND(A425&lt;=Swap2x2!$B$10,B425&lt;=$D$2*(1+1E-7)),1,0)</f>
        <v/>
      </c>
    </row>
    <row r="426">
      <c r="A426" t="n">
        <v>424</v>
      </c>
      <c r="B426">
        <f>IF(A426&lt;=Swap2x2!$B$10,_xlfn.BINOM.DIST(A426,Swap2x2!$B$10,Swap2x2!$B$46,FALSE),0)</f>
        <v/>
      </c>
      <c r="C426">
        <f>IF(AND(A426&lt;=Swap2x2!$B$10,B426&lt;=$D$2*(1+1E-7)),1,0)</f>
        <v/>
      </c>
    </row>
    <row r="427">
      <c r="A427" t="n">
        <v>425</v>
      </c>
      <c r="B427">
        <f>IF(A427&lt;=Swap2x2!$B$10,_xlfn.BINOM.DIST(A427,Swap2x2!$B$10,Swap2x2!$B$46,FALSE),0)</f>
        <v/>
      </c>
      <c r="C427">
        <f>IF(AND(A427&lt;=Swap2x2!$B$10,B427&lt;=$D$2*(1+1E-7)),1,0)</f>
        <v/>
      </c>
    </row>
    <row r="428">
      <c r="A428" t="n">
        <v>426</v>
      </c>
      <c r="B428">
        <f>IF(A428&lt;=Swap2x2!$B$10,_xlfn.BINOM.DIST(A428,Swap2x2!$B$10,Swap2x2!$B$46,FALSE),0)</f>
        <v/>
      </c>
      <c r="C428">
        <f>IF(AND(A428&lt;=Swap2x2!$B$10,B428&lt;=$D$2*(1+1E-7)),1,0)</f>
        <v/>
      </c>
    </row>
    <row r="429">
      <c r="A429" t="n">
        <v>427</v>
      </c>
      <c r="B429">
        <f>IF(A429&lt;=Swap2x2!$B$10,_xlfn.BINOM.DIST(A429,Swap2x2!$B$10,Swap2x2!$B$46,FALSE),0)</f>
        <v/>
      </c>
      <c r="C429">
        <f>IF(AND(A429&lt;=Swap2x2!$B$10,B429&lt;=$D$2*(1+1E-7)),1,0)</f>
        <v/>
      </c>
    </row>
    <row r="430">
      <c r="A430" t="n">
        <v>428</v>
      </c>
      <c r="B430">
        <f>IF(A430&lt;=Swap2x2!$B$10,_xlfn.BINOM.DIST(A430,Swap2x2!$B$10,Swap2x2!$B$46,FALSE),0)</f>
        <v/>
      </c>
      <c r="C430">
        <f>IF(AND(A430&lt;=Swap2x2!$B$10,B430&lt;=$D$2*(1+1E-7)),1,0)</f>
        <v/>
      </c>
    </row>
    <row r="431">
      <c r="A431" t="n">
        <v>429</v>
      </c>
      <c r="B431">
        <f>IF(A431&lt;=Swap2x2!$B$10,_xlfn.BINOM.DIST(A431,Swap2x2!$B$10,Swap2x2!$B$46,FALSE),0)</f>
        <v/>
      </c>
      <c r="C431">
        <f>IF(AND(A431&lt;=Swap2x2!$B$10,B431&lt;=$D$2*(1+1E-7)),1,0)</f>
        <v/>
      </c>
    </row>
    <row r="432">
      <c r="A432" t="n">
        <v>430</v>
      </c>
      <c r="B432">
        <f>IF(A432&lt;=Swap2x2!$B$10,_xlfn.BINOM.DIST(A432,Swap2x2!$B$10,Swap2x2!$B$46,FALSE),0)</f>
        <v/>
      </c>
      <c r="C432">
        <f>IF(AND(A432&lt;=Swap2x2!$B$10,B432&lt;=$D$2*(1+1E-7)),1,0)</f>
        <v/>
      </c>
    </row>
    <row r="433">
      <c r="A433" t="n">
        <v>431</v>
      </c>
      <c r="B433">
        <f>IF(A433&lt;=Swap2x2!$B$10,_xlfn.BINOM.DIST(A433,Swap2x2!$B$10,Swap2x2!$B$46,FALSE),0)</f>
        <v/>
      </c>
      <c r="C433">
        <f>IF(AND(A433&lt;=Swap2x2!$B$10,B433&lt;=$D$2*(1+1E-7)),1,0)</f>
        <v/>
      </c>
    </row>
    <row r="434">
      <c r="A434" t="n">
        <v>432</v>
      </c>
      <c r="B434">
        <f>IF(A434&lt;=Swap2x2!$B$10,_xlfn.BINOM.DIST(A434,Swap2x2!$B$10,Swap2x2!$B$46,FALSE),0)</f>
        <v/>
      </c>
      <c r="C434">
        <f>IF(AND(A434&lt;=Swap2x2!$B$10,B434&lt;=$D$2*(1+1E-7)),1,0)</f>
        <v/>
      </c>
    </row>
    <row r="435">
      <c r="A435" t="n">
        <v>433</v>
      </c>
      <c r="B435">
        <f>IF(A435&lt;=Swap2x2!$B$10,_xlfn.BINOM.DIST(A435,Swap2x2!$B$10,Swap2x2!$B$46,FALSE),0)</f>
        <v/>
      </c>
      <c r="C435">
        <f>IF(AND(A435&lt;=Swap2x2!$B$10,B435&lt;=$D$2*(1+1E-7)),1,0)</f>
        <v/>
      </c>
    </row>
    <row r="436">
      <c r="A436" t="n">
        <v>434</v>
      </c>
      <c r="B436">
        <f>IF(A436&lt;=Swap2x2!$B$10,_xlfn.BINOM.DIST(A436,Swap2x2!$B$10,Swap2x2!$B$46,FALSE),0)</f>
        <v/>
      </c>
      <c r="C436">
        <f>IF(AND(A436&lt;=Swap2x2!$B$10,B436&lt;=$D$2*(1+1E-7)),1,0)</f>
        <v/>
      </c>
    </row>
    <row r="437">
      <c r="A437" t="n">
        <v>435</v>
      </c>
      <c r="B437">
        <f>IF(A437&lt;=Swap2x2!$B$10,_xlfn.BINOM.DIST(A437,Swap2x2!$B$10,Swap2x2!$B$46,FALSE),0)</f>
        <v/>
      </c>
      <c r="C437">
        <f>IF(AND(A437&lt;=Swap2x2!$B$10,B437&lt;=$D$2*(1+1E-7)),1,0)</f>
        <v/>
      </c>
    </row>
    <row r="438">
      <c r="A438" t="n">
        <v>436</v>
      </c>
      <c r="B438">
        <f>IF(A438&lt;=Swap2x2!$B$10,_xlfn.BINOM.DIST(A438,Swap2x2!$B$10,Swap2x2!$B$46,FALSE),0)</f>
        <v/>
      </c>
      <c r="C438">
        <f>IF(AND(A438&lt;=Swap2x2!$B$10,B438&lt;=$D$2*(1+1E-7)),1,0)</f>
        <v/>
      </c>
    </row>
    <row r="439">
      <c r="A439" t="n">
        <v>437</v>
      </c>
      <c r="B439">
        <f>IF(A439&lt;=Swap2x2!$B$10,_xlfn.BINOM.DIST(A439,Swap2x2!$B$10,Swap2x2!$B$46,FALSE),0)</f>
        <v/>
      </c>
      <c r="C439">
        <f>IF(AND(A439&lt;=Swap2x2!$B$10,B439&lt;=$D$2*(1+1E-7)),1,0)</f>
        <v/>
      </c>
    </row>
    <row r="440">
      <c r="A440" t="n">
        <v>438</v>
      </c>
      <c r="B440">
        <f>IF(A440&lt;=Swap2x2!$B$10,_xlfn.BINOM.DIST(A440,Swap2x2!$B$10,Swap2x2!$B$46,FALSE),0)</f>
        <v/>
      </c>
      <c r="C440">
        <f>IF(AND(A440&lt;=Swap2x2!$B$10,B440&lt;=$D$2*(1+1E-7)),1,0)</f>
        <v/>
      </c>
    </row>
    <row r="441">
      <c r="A441" t="n">
        <v>439</v>
      </c>
      <c r="B441">
        <f>IF(A441&lt;=Swap2x2!$B$10,_xlfn.BINOM.DIST(A441,Swap2x2!$B$10,Swap2x2!$B$46,FALSE),0)</f>
        <v/>
      </c>
      <c r="C441">
        <f>IF(AND(A441&lt;=Swap2x2!$B$10,B441&lt;=$D$2*(1+1E-7)),1,0)</f>
        <v/>
      </c>
    </row>
    <row r="442">
      <c r="A442" t="n">
        <v>440</v>
      </c>
      <c r="B442">
        <f>IF(A442&lt;=Swap2x2!$B$10,_xlfn.BINOM.DIST(A442,Swap2x2!$B$10,Swap2x2!$B$46,FALSE),0)</f>
        <v/>
      </c>
      <c r="C442">
        <f>IF(AND(A442&lt;=Swap2x2!$B$10,B442&lt;=$D$2*(1+1E-7)),1,0)</f>
        <v/>
      </c>
    </row>
    <row r="443">
      <c r="A443" t="n">
        <v>441</v>
      </c>
      <c r="B443">
        <f>IF(A443&lt;=Swap2x2!$B$10,_xlfn.BINOM.DIST(A443,Swap2x2!$B$10,Swap2x2!$B$46,FALSE),0)</f>
        <v/>
      </c>
      <c r="C443">
        <f>IF(AND(A443&lt;=Swap2x2!$B$10,B443&lt;=$D$2*(1+1E-7)),1,0)</f>
        <v/>
      </c>
    </row>
    <row r="444">
      <c r="A444" t="n">
        <v>442</v>
      </c>
      <c r="B444">
        <f>IF(A444&lt;=Swap2x2!$B$10,_xlfn.BINOM.DIST(A444,Swap2x2!$B$10,Swap2x2!$B$46,FALSE),0)</f>
        <v/>
      </c>
      <c r="C444">
        <f>IF(AND(A444&lt;=Swap2x2!$B$10,B444&lt;=$D$2*(1+1E-7)),1,0)</f>
        <v/>
      </c>
    </row>
    <row r="445">
      <c r="A445" t="n">
        <v>443</v>
      </c>
      <c r="B445">
        <f>IF(A445&lt;=Swap2x2!$B$10,_xlfn.BINOM.DIST(A445,Swap2x2!$B$10,Swap2x2!$B$46,FALSE),0)</f>
        <v/>
      </c>
      <c r="C445">
        <f>IF(AND(A445&lt;=Swap2x2!$B$10,B445&lt;=$D$2*(1+1E-7)),1,0)</f>
        <v/>
      </c>
    </row>
    <row r="446">
      <c r="A446" t="n">
        <v>444</v>
      </c>
      <c r="B446">
        <f>IF(A446&lt;=Swap2x2!$B$10,_xlfn.BINOM.DIST(A446,Swap2x2!$B$10,Swap2x2!$B$46,FALSE),0)</f>
        <v/>
      </c>
      <c r="C446">
        <f>IF(AND(A446&lt;=Swap2x2!$B$10,B446&lt;=$D$2*(1+1E-7)),1,0)</f>
        <v/>
      </c>
    </row>
    <row r="447">
      <c r="A447" t="n">
        <v>445</v>
      </c>
      <c r="B447">
        <f>IF(A447&lt;=Swap2x2!$B$10,_xlfn.BINOM.DIST(A447,Swap2x2!$B$10,Swap2x2!$B$46,FALSE),0)</f>
        <v/>
      </c>
      <c r="C447">
        <f>IF(AND(A447&lt;=Swap2x2!$B$10,B447&lt;=$D$2*(1+1E-7)),1,0)</f>
        <v/>
      </c>
    </row>
    <row r="448">
      <c r="A448" t="n">
        <v>446</v>
      </c>
      <c r="B448">
        <f>IF(A448&lt;=Swap2x2!$B$10,_xlfn.BINOM.DIST(A448,Swap2x2!$B$10,Swap2x2!$B$46,FALSE),0)</f>
        <v/>
      </c>
      <c r="C448">
        <f>IF(AND(A448&lt;=Swap2x2!$B$10,B448&lt;=$D$2*(1+1E-7)),1,0)</f>
        <v/>
      </c>
    </row>
    <row r="449">
      <c r="A449" t="n">
        <v>447</v>
      </c>
      <c r="B449">
        <f>IF(A449&lt;=Swap2x2!$B$10,_xlfn.BINOM.DIST(A449,Swap2x2!$B$10,Swap2x2!$B$46,FALSE),0)</f>
        <v/>
      </c>
      <c r="C449">
        <f>IF(AND(A449&lt;=Swap2x2!$B$10,B449&lt;=$D$2*(1+1E-7)),1,0)</f>
        <v/>
      </c>
    </row>
    <row r="450">
      <c r="A450" t="n">
        <v>448</v>
      </c>
      <c r="B450">
        <f>IF(A450&lt;=Swap2x2!$B$10,_xlfn.BINOM.DIST(A450,Swap2x2!$B$10,Swap2x2!$B$46,FALSE),0)</f>
        <v/>
      </c>
      <c r="C450">
        <f>IF(AND(A450&lt;=Swap2x2!$B$10,B450&lt;=$D$2*(1+1E-7)),1,0)</f>
        <v/>
      </c>
    </row>
    <row r="451">
      <c r="A451" t="n">
        <v>449</v>
      </c>
      <c r="B451">
        <f>IF(A451&lt;=Swap2x2!$B$10,_xlfn.BINOM.DIST(A451,Swap2x2!$B$10,Swap2x2!$B$46,FALSE),0)</f>
        <v/>
      </c>
      <c r="C451">
        <f>IF(AND(A451&lt;=Swap2x2!$B$10,B451&lt;=$D$2*(1+1E-7)),1,0)</f>
        <v/>
      </c>
    </row>
    <row r="452">
      <c r="A452" t="n">
        <v>450</v>
      </c>
      <c r="B452">
        <f>IF(A452&lt;=Swap2x2!$B$10,_xlfn.BINOM.DIST(A452,Swap2x2!$B$10,Swap2x2!$B$46,FALSE),0)</f>
        <v/>
      </c>
      <c r="C452">
        <f>IF(AND(A452&lt;=Swap2x2!$B$10,B452&lt;=$D$2*(1+1E-7)),1,0)</f>
        <v/>
      </c>
    </row>
    <row r="453">
      <c r="A453" t="n">
        <v>451</v>
      </c>
      <c r="B453">
        <f>IF(A453&lt;=Swap2x2!$B$10,_xlfn.BINOM.DIST(A453,Swap2x2!$B$10,Swap2x2!$B$46,FALSE),0)</f>
        <v/>
      </c>
      <c r="C453">
        <f>IF(AND(A453&lt;=Swap2x2!$B$10,B453&lt;=$D$2*(1+1E-7)),1,0)</f>
        <v/>
      </c>
    </row>
    <row r="454">
      <c r="A454" t="n">
        <v>452</v>
      </c>
      <c r="B454">
        <f>IF(A454&lt;=Swap2x2!$B$10,_xlfn.BINOM.DIST(A454,Swap2x2!$B$10,Swap2x2!$B$46,FALSE),0)</f>
        <v/>
      </c>
      <c r="C454">
        <f>IF(AND(A454&lt;=Swap2x2!$B$10,B454&lt;=$D$2*(1+1E-7)),1,0)</f>
        <v/>
      </c>
    </row>
    <row r="455">
      <c r="A455" t="n">
        <v>453</v>
      </c>
      <c r="B455">
        <f>IF(A455&lt;=Swap2x2!$B$10,_xlfn.BINOM.DIST(A455,Swap2x2!$B$10,Swap2x2!$B$46,FALSE),0)</f>
        <v/>
      </c>
      <c r="C455">
        <f>IF(AND(A455&lt;=Swap2x2!$B$10,B455&lt;=$D$2*(1+1E-7)),1,0)</f>
        <v/>
      </c>
    </row>
    <row r="456">
      <c r="A456" t="n">
        <v>454</v>
      </c>
      <c r="B456">
        <f>IF(A456&lt;=Swap2x2!$B$10,_xlfn.BINOM.DIST(A456,Swap2x2!$B$10,Swap2x2!$B$46,FALSE),0)</f>
        <v/>
      </c>
      <c r="C456">
        <f>IF(AND(A456&lt;=Swap2x2!$B$10,B456&lt;=$D$2*(1+1E-7)),1,0)</f>
        <v/>
      </c>
    </row>
    <row r="457">
      <c r="A457" t="n">
        <v>455</v>
      </c>
      <c r="B457">
        <f>IF(A457&lt;=Swap2x2!$B$10,_xlfn.BINOM.DIST(A457,Swap2x2!$B$10,Swap2x2!$B$46,FALSE),0)</f>
        <v/>
      </c>
      <c r="C457">
        <f>IF(AND(A457&lt;=Swap2x2!$B$10,B457&lt;=$D$2*(1+1E-7)),1,0)</f>
        <v/>
      </c>
    </row>
    <row r="458">
      <c r="A458" t="n">
        <v>456</v>
      </c>
      <c r="B458">
        <f>IF(A458&lt;=Swap2x2!$B$10,_xlfn.BINOM.DIST(A458,Swap2x2!$B$10,Swap2x2!$B$46,FALSE),0)</f>
        <v/>
      </c>
      <c r="C458">
        <f>IF(AND(A458&lt;=Swap2x2!$B$10,B458&lt;=$D$2*(1+1E-7)),1,0)</f>
        <v/>
      </c>
    </row>
    <row r="459">
      <c r="A459" t="n">
        <v>457</v>
      </c>
      <c r="B459">
        <f>IF(A459&lt;=Swap2x2!$B$10,_xlfn.BINOM.DIST(A459,Swap2x2!$B$10,Swap2x2!$B$46,FALSE),0)</f>
        <v/>
      </c>
      <c r="C459">
        <f>IF(AND(A459&lt;=Swap2x2!$B$10,B459&lt;=$D$2*(1+1E-7)),1,0)</f>
        <v/>
      </c>
    </row>
    <row r="460">
      <c r="A460" t="n">
        <v>458</v>
      </c>
      <c r="B460">
        <f>IF(A460&lt;=Swap2x2!$B$10,_xlfn.BINOM.DIST(A460,Swap2x2!$B$10,Swap2x2!$B$46,FALSE),0)</f>
        <v/>
      </c>
      <c r="C460">
        <f>IF(AND(A460&lt;=Swap2x2!$B$10,B460&lt;=$D$2*(1+1E-7)),1,0)</f>
        <v/>
      </c>
    </row>
    <row r="461">
      <c r="A461" t="n">
        <v>459</v>
      </c>
      <c r="B461">
        <f>IF(A461&lt;=Swap2x2!$B$10,_xlfn.BINOM.DIST(A461,Swap2x2!$B$10,Swap2x2!$B$46,FALSE),0)</f>
        <v/>
      </c>
      <c r="C461">
        <f>IF(AND(A461&lt;=Swap2x2!$B$10,B461&lt;=$D$2*(1+1E-7)),1,0)</f>
        <v/>
      </c>
    </row>
    <row r="462">
      <c r="A462" t="n">
        <v>460</v>
      </c>
      <c r="B462">
        <f>IF(A462&lt;=Swap2x2!$B$10,_xlfn.BINOM.DIST(A462,Swap2x2!$B$10,Swap2x2!$B$46,FALSE),0)</f>
        <v/>
      </c>
      <c r="C462">
        <f>IF(AND(A462&lt;=Swap2x2!$B$10,B462&lt;=$D$2*(1+1E-7)),1,0)</f>
        <v/>
      </c>
    </row>
    <row r="463">
      <c r="A463" t="n">
        <v>461</v>
      </c>
      <c r="B463">
        <f>IF(A463&lt;=Swap2x2!$B$10,_xlfn.BINOM.DIST(A463,Swap2x2!$B$10,Swap2x2!$B$46,FALSE),0)</f>
        <v/>
      </c>
      <c r="C463">
        <f>IF(AND(A463&lt;=Swap2x2!$B$10,B463&lt;=$D$2*(1+1E-7)),1,0)</f>
        <v/>
      </c>
    </row>
    <row r="464">
      <c r="A464" t="n">
        <v>462</v>
      </c>
      <c r="B464">
        <f>IF(A464&lt;=Swap2x2!$B$10,_xlfn.BINOM.DIST(A464,Swap2x2!$B$10,Swap2x2!$B$46,FALSE),0)</f>
        <v/>
      </c>
      <c r="C464">
        <f>IF(AND(A464&lt;=Swap2x2!$B$10,B464&lt;=$D$2*(1+1E-7)),1,0)</f>
        <v/>
      </c>
    </row>
    <row r="465">
      <c r="A465" t="n">
        <v>463</v>
      </c>
      <c r="B465">
        <f>IF(A465&lt;=Swap2x2!$B$10,_xlfn.BINOM.DIST(A465,Swap2x2!$B$10,Swap2x2!$B$46,FALSE),0)</f>
        <v/>
      </c>
      <c r="C465">
        <f>IF(AND(A465&lt;=Swap2x2!$B$10,B465&lt;=$D$2*(1+1E-7)),1,0)</f>
        <v/>
      </c>
    </row>
    <row r="466">
      <c r="A466" t="n">
        <v>464</v>
      </c>
      <c r="B466">
        <f>IF(A466&lt;=Swap2x2!$B$10,_xlfn.BINOM.DIST(A466,Swap2x2!$B$10,Swap2x2!$B$46,FALSE),0)</f>
        <v/>
      </c>
      <c r="C466">
        <f>IF(AND(A466&lt;=Swap2x2!$B$10,B466&lt;=$D$2*(1+1E-7)),1,0)</f>
        <v/>
      </c>
    </row>
    <row r="467">
      <c r="A467" t="n">
        <v>465</v>
      </c>
      <c r="B467">
        <f>IF(A467&lt;=Swap2x2!$B$10,_xlfn.BINOM.DIST(A467,Swap2x2!$B$10,Swap2x2!$B$46,FALSE),0)</f>
        <v/>
      </c>
      <c r="C467">
        <f>IF(AND(A467&lt;=Swap2x2!$B$10,B467&lt;=$D$2*(1+1E-7)),1,0)</f>
        <v/>
      </c>
    </row>
    <row r="468">
      <c r="A468" t="n">
        <v>466</v>
      </c>
      <c r="B468">
        <f>IF(A468&lt;=Swap2x2!$B$10,_xlfn.BINOM.DIST(A468,Swap2x2!$B$10,Swap2x2!$B$46,FALSE),0)</f>
        <v/>
      </c>
      <c r="C468">
        <f>IF(AND(A468&lt;=Swap2x2!$B$10,B468&lt;=$D$2*(1+1E-7)),1,0)</f>
        <v/>
      </c>
    </row>
    <row r="469">
      <c r="A469" t="n">
        <v>467</v>
      </c>
      <c r="B469">
        <f>IF(A469&lt;=Swap2x2!$B$10,_xlfn.BINOM.DIST(A469,Swap2x2!$B$10,Swap2x2!$B$46,FALSE),0)</f>
        <v/>
      </c>
      <c r="C469">
        <f>IF(AND(A469&lt;=Swap2x2!$B$10,B469&lt;=$D$2*(1+1E-7)),1,0)</f>
        <v/>
      </c>
    </row>
    <row r="470">
      <c r="A470" t="n">
        <v>468</v>
      </c>
      <c r="B470">
        <f>IF(A470&lt;=Swap2x2!$B$10,_xlfn.BINOM.DIST(A470,Swap2x2!$B$10,Swap2x2!$B$46,FALSE),0)</f>
        <v/>
      </c>
      <c r="C470">
        <f>IF(AND(A470&lt;=Swap2x2!$B$10,B470&lt;=$D$2*(1+1E-7)),1,0)</f>
        <v/>
      </c>
    </row>
    <row r="471">
      <c r="A471" t="n">
        <v>469</v>
      </c>
      <c r="B471">
        <f>IF(A471&lt;=Swap2x2!$B$10,_xlfn.BINOM.DIST(A471,Swap2x2!$B$10,Swap2x2!$B$46,FALSE),0)</f>
        <v/>
      </c>
      <c r="C471">
        <f>IF(AND(A471&lt;=Swap2x2!$B$10,B471&lt;=$D$2*(1+1E-7)),1,0)</f>
        <v/>
      </c>
    </row>
    <row r="472">
      <c r="A472" t="n">
        <v>470</v>
      </c>
      <c r="B472">
        <f>IF(A472&lt;=Swap2x2!$B$10,_xlfn.BINOM.DIST(A472,Swap2x2!$B$10,Swap2x2!$B$46,FALSE),0)</f>
        <v/>
      </c>
      <c r="C472">
        <f>IF(AND(A472&lt;=Swap2x2!$B$10,B472&lt;=$D$2*(1+1E-7)),1,0)</f>
        <v/>
      </c>
    </row>
    <row r="473">
      <c r="A473" t="n">
        <v>471</v>
      </c>
      <c r="B473">
        <f>IF(A473&lt;=Swap2x2!$B$10,_xlfn.BINOM.DIST(A473,Swap2x2!$B$10,Swap2x2!$B$46,FALSE),0)</f>
        <v/>
      </c>
      <c r="C473">
        <f>IF(AND(A473&lt;=Swap2x2!$B$10,B473&lt;=$D$2*(1+1E-7)),1,0)</f>
        <v/>
      </c>
    </row>
    <row r="474">
      <c r="A474" t="n">
        <v>472</v>
      </c>
      <c r="B474">
        <f>IF(A474&lt;=Swap2x2!$B$10,_xlfn.BINOM.DIST(A474,Swap2x2!$B$10,Swap2x2!$B$46,FALSE),0)</f>
        <v/>
      </c>
      <c r="C474">
        <f>IF(AND(A474&lt;=Swap2x2!$B$10,B474&lt;=$D$2*(1+1E-7)),1,0)</f>
        <v/>
      </c>
    </row>
    <row r="475">
      <c r="A475" t="n">
        <v>473</v>
      </c>
      <c r="B475">
        <f>IF(A475&lt;=Swap2x2!$B$10,_xlfn.BINOM.DIST(A475,Swap2x2!$B$10,Swap2x2!$B$46,FALSE),0)</f>
        <v/>
      </c>
      <c r="C475">
        <f>IF(AND(A475&lt;=Swap2x2!$B$10,B475&lt;=$D$2*(1+1E-7)),1,0)</f>
        <v/>
      </c>
    </row>
    <row r="476">
      <c r="A476" t="n">
        <v>474</v>
      </c>
      <c r="B476">
        <f>IF(A476&lt;=Swap2x2!$B$10,_xlfn.BINOM.DIST(A476,Swap2x2!$B$10,Swap2x2!$B$46,FALSE),0)</f>
        <v/>
      </c>
      <c r="C476">
        <f>IF(AND(A476&lt;=Swap2x2!$B$10,B476&lt;=$D$2*(1+1E-7)),1,0)</f>
        <v/>
      </c>
    </row>
    <row r="477">
      <c r="A477" t="n">
        <v>475</v>
      </c>
      <c r="B477">
        <f>IF(A477&lt;=Swap2x2!$B$10,_xlfn.BINOM.DIST(A477,Swap2x2!$B$10,Swap2x2!$B$46,FALSE),0)</f>
        <v/>
      </c>
      <c r="C477">
        <f>IF(AND(A477&lt;=Swap2x2!$B$10,B477&lt;=$D$2*(1+1E-7)),1,0)</f>
        <v/>
      </c>
    </row>
    <row r="478">
      <c r="A478" t="n">
        <v>476</v>
      </c>
      <c r="B478">
        <f>IF(A478&lt;=Swap2x2!$B$10,_xlfn.BINOM.DIST(A478,Swap2x2!$B$10,Swap2x2!$B$46,FALSE),0)</f>
        <v/>
      </c>
      <c r="C478">
        <f>IF(AND(A478&lt;=Swap2x2!$B$10,B478&lt;=$D$2*(1+1E-7)),1,0)</f>
        <v/>
      </c>
    </row>
    <row r="479">
      <c r="A479" t="n">
        <v>477</v>
      </c>
      <c r="B479">
        <f>IF(A479&lt;=Swap2x2!$B$10,_xlfn.BINOM.DIST(A479,Swap2x2!$B$10,Swap2x2!$B$46,FALSE),0)</f>
        <v/>
      </c>
      <c r="C479">
        <f>IF(AND(A479&lt;=Swap2x2!$B$10,B479&lt;=$D$2*(1+1E-7)),1,0)</f>
        <v/>
      </c>
    </row>
    <row r="480">
      <c r="A480" t="n">
        <v>478</v>
      </c>
      <c r="B480">
        <f>IF(A480&lt;=Swap2x2!$B$10,_xlfn.BINOM.DIST(A480,Swap2x2!$B$10,Swap2x2!$B$46,FALSE),0)</f>
        <v/>
      </c>
      <c r="C480">
        <f>IF(AND(A480&lt;=Swap2x2!$B$10,B480&lt;=$D$2*(1+1E-7)),1,0)</f>
        <v/>
      </c>
    </row>
    <row r="481">
      <c r="A481" t="n">
        <v>479</v>
      </c>
      <c r="B481">
        <f>IF(A481&lt;=Swap2x2!$B$10,_xlfn.BINOM.DIST(A481,Swap2x2!$B$10,Swap2x2!$B$46,FALSE),0)</f>
        <v/>
      </c>
      <c r="C481">
        <f>IF(AND(A481&lt;=Swap2x2!$B$10,B481&lt;=$D$2*(1+1E-7)),1,0)</f>
        <v/>
      </c>
    </row>
    <row r="482">
      <c r="A482" t="n">
        <v>480</v>
      </c>
      <c r="B482">
        <f>IF(A482&lt;=Swap2x2!$B$10,_xlfn.BINOM.DIST(A482,Swap2x2!$B$10,Swap2x2!$B$46,FALSE),0)</f>
        <v/>
      </c>
      <c r="C482">
        <f>IF(AND(A482&lt;=Swap2x2!$B$10,B482&lt;=$D$2*(1+1E-7)),1,0)</f>
        <v/>
      </c>
    </row>
    <row r="483">
      <c r="A483" t="n">
        <v>481</v>
      </c>
      <c r="B483">
        <f>IF(A483&lt;=Swap2x2!$B$10,_xlfn.BINOM.DIST(A483,Swap2x2!$B$10,Swap2x2!$B$46,FALSE),0)</f>
        <v/>
      </c>
      <c r="C483">
        <f>IF(AND(A483&lt;=Swap2x2!$B$10,B483&lt;=$D$2*(1+1E-7)),1,0)</f>
        <v/>
      </c>
    </row>
    <row r="484">
      <c r="A484" t="n">
        <v>482</v>
      </c>
      <c r="B484">
        <f>IF(A484&lt;=Swap2x2!$B$10,_xlfn.BINOM.DIST(A484,Swap2x2!$B$10,Swap2x2!$B$46,FALSE),0)</f>
        <v/>
      </c>
      <c r="C484">
        <f>IF(AND(A484&lt;=Swap2x2!$B$10,B484&lt;=$D$2*(1+1E-7)),1,0)</f>
        <v/>
      </c>
    </row>
    <row r="485">
      <c r="A485" t="n">
        <v>483</v>
      </c>
      <c r="B485">
        <f>IF(A485&lt;=Swap2x2!$B$10,_xlfn.BINOM.DIST(A485,Swap2x2!$B$10,Swap2x2!$B$46,FALSE),0)</f>
        <v/>
      </c>
      <c r="C485">
        <f>IF(AND(A485&lt;=Swap2x2!$B$10,B485&lt;=$D$2*(1+1E-7)),1,0)</f>
        <v/>
      </c>
    </row>
    <row r="486">
      <c r="A486" t="n">
        <v>484</v>
      </c>
      <c r="B486">
        <f>IF(A486&lt;=Swap2x2!$B$10,_xlfn.BINOM.DIST(A486,Swap2x2!$B$10,Swap2x2!$B$46,FALSE),0)</f>
        <v/>
      </c>
      <c r="C486">
        <f>IF(AND(A486&lt;=Swap2x2!$B$10,B486&lt;=$D$2*(1+1E-7)),1,0)</f>
        <v/>
      </c>
    </row>
    <row r="487">
      <c r="A487" t="n">
        <v>485</v>
      </c>
      <c r="B487">
        <f>IF(A487&lt;=Swap2x2!$B$10,_xlfn.BINOM.DIST(A487,Swap2x2!$B$10,Swap2x2!$B$46,FALSE),0)</f>
        <v/>
      </c>
      <c r="C487">
        <f>IF(AND(A487&lt;=Swap2x2!$B$10,B487&lt;=$D$2*(1+1E-7)),1,0)</f>
        <v/>
      </c>
    </row>
    <row r="488">
      <c r="A488" t="n">
        <v>486</v>
      </c>
      <c r="B488">
        <f>IF(A488&lt;=Swap2x2!$B$10,_xlfn.BINOM.DIST(A488,Swap2x2!$B$10,Swap2x2!$B$46,FALSE),0)</f>
        <v/>
      </c>
      <c r="C488">
        <f>IF(AND(A488&lt;=Swap2x2!$B$10,B488&lt;=$D$2*(1+1E-7)),1,0)</f>
        <v/>
      </c>
    </row>
    <row r="489">
      <c r="A489" t="n">
        <v>487</v>
      </c>
      <c r="B489">
        <f>IF(A489&lt;=Swap2x2!$B$10,_xlfn.BINOM.DIST(A489,Swap2x2!$B$10,Swap2x2!$B$46,FALSE),0)</f>
        <v/>
      </c>
      <c r="C489">
        <f>IF(AND(A489&lt;=Swap2x2!$B$10,B489&lt;=$D$2*(1+1E-7)),1,0)</f>
        <v/>
      </c>
    </row>
    <row r="490">
      <c r="A490" t="n">
        <v>488</v>
      </c>
      <c r="B490">
        <f>IF(A490&lt;=Swap2x2!$B$10,_xlfn.BINOM.DIST(A490,Swap2x2!$B$10,Swap2x2!$B$46,FALSE),0)</f>
        <v/>
      </c>
      <c r="C490">
        <f>IF(AND(A490&lt;=Swap2x2!$B$10,B490&lt;=$D$2*(1+1E-7)),1,0)</f>
        <v/>
      </c>
    </row>
    <row r="491">
      <c r="A491" t="n">
        <v>489</v>
      </c>
      <c r="B491">
        <f>IF(A491&lt;=Swap2x2!$B$10,_xlfn.BINOM.DIST(A491,Swap2x2!$B$10,Swap2x2!$B$46,FALSE),0)</f>
        <v/>
      </c>
      <c r="C491">
        <f>IF(AND(A491&lt;=Swap2x2!$B$10,B491&lt;=$D$2*(1+1E-7)),1,0)</f>
        <v/>
      </c>
    </row>
    <row r="492">
      <c r="A492" t="n">
        <v>490</v>
      </c>
      <c r="B492">
        <f>IF(A492&lt;=Swap2x2!$B$10,_xlfn.BINOM.DIST(A492,Swap2x2!$B$10,Swap2x2!$B$46,FALSE),0)</f>
        <v/>
      </c>
      <c r="C492">
        <f>IF(AND(A492&lt;=Swap2x2!$B$10,B492&lt;=$D$2*(1+1E-7)),1,0)</f>
        <v/>
      </c>
    </row>
    <row r="493">
      <c r="A493" t="n">
        <v>491</v>
      </c>
      <c r="B493">
        <f>IF(A493&lt;=Swap2x2!$B$10,_xlfn.BINOM.DIST(A493,Swap2x2!$B$10,Swap2x2!$B$46,FALSE),0)</f>
        <v/>
      </c>
      <c r="C493">
        <f>IF(AND(A493&lt;=Swap2x2!$B$10,B493&lt;=$D$2*(1+1E-7)),1,0)</f>
        <v/>
      </c>
    </row>
    <row r="494">
      <c r="A494" t="n">
        <v>492</v>
      </c>
      <c r="B494">
        <f>IF(A494&lt;=Swap2x2!$B$10,_xlfn.BINOM.DIST(A494,Swap2x2!$B$10,Swap2x2!$B$46,FALSE),0)</f>
        <v/>
      </c>
      <c r="C494">
        <f>IF(AND(A494&lt;=Swap2x2!$B$10,B494&lt;=$D$2*(1+1E-7)),1,0)</f>
        <v/>
      </c>
    </row>
    <row r="495">
      <c r="A495" t="n">
        <v>493</v>
      </c>
      <c r="B495">
        <f>IF(A495&lt;=Swap2x2!$B$10,_xlfn.BINOM.DIST(A495,Swap2x2!$B$10,Swap2x2!$B$46,FALSE),0)</f>
        <v/>
      </c>
      <c r="C495">
        <f>IF(AND(A495&lt;=Swap2x2!$B$10,B495&lt;=$D$2*(1+1E-7)),1,0)</f>
        <v/>
      </c>
    </row>
    <row r="496">
      <c r="A496" t="n">
        <v>494</v>
      </c>
      <c r="B496">
        <f>IF(A496&lt;=Swap2x2!$B$10,_xlfn.BINOM.DIST(A496,Swap2x2!$B$10,Swap2x2!$B$46,FALSE),0)</f>
        <v/>
      </c>
      <c r="C496">
        <f>IF(AND(A496&lt;=Swap2x2!$B$10,B496&lt;=$D$2*(1+1E-7)),1,0)</f>
        <v/>
      </c>
    </row>
    <row r="497">
      <c r="A497" t="n">
        <v>495</v>
      </c>
      <c r="B497">
        <f>IF(A497&lt;=Swap2x2!$B$10,_xlfn.BINOM.DIST(A497,Swap2x2!$B$10,Swap2x2!$B$46,FALSE),0)</f>
        <v/>
      </c>
      <c r="C497">
        <f>IF(AND(A497&lt;=Swap2x2!$B$10,B497&lt;=$D$2*(1+1E-7)),1,0)</f>
        <v/>
      </c>
    </row>
    <row r="498">
      <c r="A498" t="n">
        <v>496</v>
      </c>
      <c r="B498">
        <f>IF(A498&lt;=Swap2x2!$B$10,_xlfn.BINOM.DIST(A498,Swap2x2!$B$10,Swap2x2!$B$46,FALSE),0)</f>
        <v/>
      </c>
      <c r="C498">
        <f>IF(AND(A498&lt;=Swap2x2!$B$10,B498&lt;=$D$2*(1+1E-7)),1,0)</f>
        <v/>
      </c>
    </row>
    <row r="499">
      <c r="A499" t="n">
        <v>497</v>
      </c>
      <c r="B499">
        <f>IF(A499&lt;=Swap2x2!$B$10,_xlfn.BINOM.DIST(A499,Swap2x2!$B$10,Swap2x2!$B$46,FALSE),0)</f>
        <v/>
      </c>
      <c r="C499">
        <f>IF(AND(A499&lt;=Swap2x2!$B$10,B499&lt;=$D$2*(1+1E-7)),1,0)</f>
        <v/>
      </c>
    </row>
    <row r="500">
      <c r="A500" t="n">
        <v>498</v>
      </c>
      <c r="B500">
        <f>IF(A500&lt;=Swap2x2!$B$10,_xlfn.BINOM.DIST(A500,Swap2x2!$B$10,Swap2x2!$B$46,FALSE),0)</f>
        <v/>
      </c>
      <c r="C500">
        <f>IF(AND(A500&lt;=Swap2x2!$B$10,B500&lt;=$D$2*(1+1E-7)),1,0)</f>
        <v/>
      </c>
    </row>
    <row r="501">
      <c r="A501" t="n">
        <v>499</v>
      </c>
      <c r="B501">
        <f>IF(A501&lt;=Swap2x2!$B$10,_xlfn.BINOM.DIST(A501,Swap2x2!$B$10,Swap2x2!$B$46,FALSE),0)</f>
        <v/>
      </c>
      <c r="C501">
        <f>IF(AND(A501&lt;=Swap2x2!$B$10,B501&lt;=$D$2*(1+1E-7)),1,0)</f>
        <v/>
      </c>
    </row>
    <row r="502">
      <c r="A502" t="n">
        <v>500</v>
      </c>
      <c r="B502">
        <f>IF(A502&lt;=Swap2x2!$B$10,_xlfn.BINOM.DIST(A502,Swap2x2!$B$10,Swap2x2!$B$46,FALSE),0)</f>
        <v/>
      </c>
      <c r="C502">
        <f>IF(AND(A502&lt;=Swap2x2!$B$10,B502&lt;=$D$2*(1+1E-7)),1,0)</f>
        <v/>
      </c>
    </row>
    <row r="503">
      <c r="A503" t="n">
        <v>501</v>
      </c>
      <c r="B503">
        <f>IF(A503&lt;=Swap2x2!$B$10,_xlfn.BINOM.DIST(A503,Swap2x2!$B$10,Swap2x2!$B$46,FALSE),0)</f>
        <v/>
      </c>
      <c r="C503">
        <f>IF(AND(A503&lt;=Swap2x2!$B$10,B503&lt;=$D$2*(1+1E-7)),1,0)</f>
        <v/>
      </c>
    </row>
    <row r="504">
      <c r="A504" t="n">
        <v>502</v>
      </c>
      <c r="B504">
        <f>IF(A504&lt;=Swap2x2!$B$10,_xlfn.BINOM.DIST(A504,Swap2x2!$B$10,Swap2x2!$B$46,FALSE),0)</f>
        <v/>
      </c>
      <c r="C504">
        <f>IF(AND(A504&lt;=Swap2x2!$B$10,B504&lt;=$D$2*(1+1E-7)),1,0)</f>
        <v/>
      </c>
    </row>
    <row r="505">
      <c r="A505" t="n">
        <v>503</v>
      </c>
      <c r="B505">
        <f>IF(A505&lt;=Swap2x2!$B$10,_xlfn.BINOM.DIST(A505,Swap2x2!$B$10,Swap2x2!$B$46,FALSE),0)</f>
        <v/>
      </c>
      <c r="C505">
        <f>IF(AND(A505&lt;=Swap2x2!$B$10,B505&lt;=$D$2*(1+1E-7)),1,0)</f>
        <v/>
      </c>
    </row>
    <row r="506">
      <c r="A506" t="n">
        <v>504</v>
      </c>
      <c r="B506">
        <f>IF(A506&lt;=Swap2x2!$B$10,_xlfn.BINOM.DIST(A506,Swap2x2!$B$10,Swap2x2!$B$46,FALSE),0)</f>
        <v/>
      </c>
      <c r="C506">
        <f>IF(AND(A506&lt;=Swap2x2!$B$10,B506&lt;=$D$2*(1+1E-7)),1,0)</f>
        <v/>
      </c>
    </row>
    <row r="507">
      <c r="A507" t="n">
        <v>505</v>
      </c>
      <c r="B507">
        <f>IF(A507&lt;=Swap2x2!$B$10,_xlfn.BINOM.DIST(A507,Swap2x2!$B$10,Swap2x2!$B$46,FALSE),0)</f>
        <v/>
      </c>
      <c r="C507">
        <f>IF(AND(A507&lt;=Swap2x2!$B$10,B507&lt;=$D$2*(1+1E-7)),1,0)</f>
        <v/>
      </c>
    </row>
    <row r="508">
      <c r="A508" t="n">
        <v>506</v>
      </c>
      <c r="B508">
        <f>IF(A508&lt;=Swap2x2!$B$10,_xlfn.BINOM.DIST(A508,Swap2x2!$B$10,Swap2x2!$B$46,FALSE),0)</f>
        <v/>
      </c>
      <c r="C508">
        <f>IF(AND(A508&lt;=Swap2x2!$B$10,B508&lt;=$D$2*(1+1E-7)),1,0)</f>
        <v/>
      </c>
    </row>
    <row r="509">
      <c r="A509" t="n">
        <v>507</v>
      </c>
      <c r="B509">
        <f>IF(A509&lt;=Swap2x2!$B$10,_xlfn.BINOM.DIST(A509,Swap2x2!$B$10,Swap2x2!$B$46,FALSE),0)</f>
        <v/>
      </c>
      <c r="C509">
        <f>IF(AND(A509&lt;=Swap2x2!$B$10,B509&lt;=$D$2*(1+1E-7)),1,0)</f>
        <v/>
      </c>
    </row>
    <row r="510">
      <c r="A510" t="n">
        <v>508</v>
      </c>
      <c r="B510">
        <f>IF(A510&lt;=Swap2x2!$B$10,_xlfn.BINOM.DIST(A510,Swap2x2!$B$10,Swap2x2!$B$46,FALSE),0)</f>
        <v/>
      </c>
      <c r="C510">
        <f>IF(AND(A510&lt;=Swap2x2!$B$10,B510&lt;=$D$2*(1+1E-7)),1,0)</f>
        <v/>
      </c>
    </row>
    <row r="511">
      <c r="A511" t="n">
        <v>509</v>
      </c>
      <c r="B511">
        <f>IF(A511&lt;=Swap2x2!$B$10,_xlfn.BINOM.DIST(A511,Swap2x2!$B$10,Swap2x2!$B$46,FALSE),0)</f>
        <v/>
      </c>
      <c r="C511">
        <f>IF(AND(A511&lt;=Swap2x2!$B$10,B511&lt;=$D$2*(1+1E-7)),1,0)</f>
        <v/>
      </c>
    </row>
    <row r="512">
      <c r="A512" t="n">
        <v>510</v>
      </c>
      <c r="B512">
        <f>IF(A512&lt;=Swap2x2!$B$10,_xlfn.BINOM.DIST(A512,Swap2x2!$B$10,Swap2x2!$B$46,FALSE),0)</f>
        <v/>
      </c>
      <c r="C512">
        <f>IF(AND(A512&lt;=Swap2x2!$B$10,B512&lt;=$D$2*(1+1E-7)),1,0)</f>
        <v/>
      </c>
    </row>
    <row r="513">
      <c r="A513" t="n">
        <v>511</v>
      </c>
      <c r="B513">
        <f>IF(A513&lt;=Swap2x2!$B$10,_xlfn.BINOM.DIST(A513,Swap2x2!$B$10,Swap2x2!$B$46,FALSE),0)</f>
        <v/>
      </c>
      <c r="C513">
        <f>IF(AND(A513&lt;=Swap2x2!$B$10,B513&lt;=$D$2*(1+1E-7)),1,0)</f>
        <v/>
      </c>
    </row>
    <row r="514">
      <c r="A514" t="n">
        <v>512</v>
      </c>
      <c r="B514">
        <f>IF(A514&lt;=Swap2x2!$B$10,_xlfn.BINOM.DIST(A514,Swap2x2!$B$10,Swap2x2!$B$46,FALSE),0)</f>
        <v/>
      </c>
      <c r="C514">
        <f>IF(AND(A514&lt;=Swap2x2!$B$10,B514&lt;=$D$2*(1+1E-7)),1,0)</f>
        <v/>
      </c>
    </row>
    <row r="515">
      <c r="A515" t="n">
        <v>513</v>
      </c>
      <c r="B515">
        <f>IF(A515&lt;=Swap2x2!$B$10,_xlfn.BINOM.DIST(A515,Swap2x2!$B$10,Swap2x2!$B$46,FALSE),0)</f>
        <v/>
      </c>
      <c r="C515">
        <f>IF(AND(A515&lt;=Swap2x2!$B$10,B515&lt;=$D$2*(1+1E-7)),1,0)</f>
        <v/>
      </c>
    </row>
    <row r="516">
      <c r="A516" t="n">
        <v>514</v>
      </c>
      <c r="B516">
        <f>IF(A516&lt;=Swap2x2!$B$10,_xlfn.BINOM.DIST(A516,Swap2x2!$B$10,Swap2x2!$B$46,FALSE),0)</f>
        <v/>
      </c>
      <c r="C516">
        <f>IF(AND(A516&lt;=Swap2x2!$B$10,B516&lt;=$D$2*(1+1E-7)),1,0)</f>
        <v/>
      </c>
    </row>
    <row r="517">
      <c r="A517" t="n">
        <v>515</v>
      </c>
      <c r="B517">
        <f>IF(A517&lt;=Swap2x2!$B$10,_xlfn.BINOM.DIST(A517,Swap2x2!$B$10,Swap2x2!$B$46,FALSE),0)</f>
        <v/>
      </c>
      <c r="C517">
        <f>IF(AND(A517&lt;=Swap2x2!$B$10,B517&lt;=$D$2*(1+1E-7)),1,0)</f>
        <v/>
      </c>
    </row>
    <row r="518">
      <c r="A518" t="n">
        <v>516</v>
      </c>
      <c r="B518">
        <f>IF(A518&lt;=Swap2x2!$B$10,_xlfn.BINOM.DIST(A518,Swap2x2!$B$10,Swap2x2!$B$46,FALSE),0)</f>
        <v/>
      </c>
      <c r="C518">
        <f>IF(AND(A518&lt;=Swap2x2!$B$10,B518&lt;=$D$2*(1+1E-7)),1,0)</f>
        <v/>
      </c>
    </row>
    <row r="519">
      <c r="A519" t="n">
        <v>517</v>
      </c>
      <c r="B519">
        <f>IF(A519&lt;=Swap2x2!$B$10,_xlfn.BINOM.DIST(A519,Swap2x2!$B$10,Swap2x2!$B$46,FALSE),0)</f>
        <v/>
      </c>
      <c r="C519">
        <f>IF(AND(A519&lt;=Swap2x2!$B$10,B519&lt;=$D$2*(1+1E-7)),1,0)</f>
        <v/>
      </c>
    </row>
    <row r="520">
      <c r="A520" t="n">
        <v>518</v>
      </c>
      <c r="B520">
        <f>IF(A520&lt;=Swap2x2!$B$10,_xlfn.BINOM.DIST(A520,Swap2x2!$B$10,Swap2x2!$B$46,FALSE),0)</f>
        <v/>
      </c>
      <c r="C520">
        <f>IF(AND(A520&lt;=Swap2x2!$B$10,B520&lt;=$D$2*(1+1E-7)),1,0)</f>
        <v/>
      </c>
    </row>
    <row r="521">
      <c r="A521" t="n">
        <v>519</v>
      </c>
      <c r="B521">
        <f>IF(A521&lt;=Swap2x2!$B$10,_xlfn.BINOM.DIST(A521,Swap2x2!$B$10,Swap2x2!$B$46,FALSE),0)</f>
        <v/>
      </c>
      <c r="C521">
        <f>IF(AND(A521&lt;=Swap2x2!$B$10,B521&lt;=$D$2*(1+1E-7)),1,0)</f>
        <v/>
      </c>
    </row>
    <row r="522">
      <c r="A522" t="n">
        <v>520</v>
      </c>
      <c r="B522">
        <f>IF(A522&lt;=Swap2x2!$B$10,_xlfn.BINOM.DIST(A522,Swap2x2!$B$10,Swap2x2!$B$46,FALSE),0)</f>
        <v/>
      </c>
      <c r="C522">
        <f>IF(AND(A522&lt;=Swap2x2!$B$10,B522&lt;=$D$2*(1+1E-7)),1,0)</f>
        <v/>
      </c>
    </row>
    <row r="523">
      <c r="A523" t="n">
        <v>521</v>
      </c>
      <c r="B523">
        <f>IF(A523&lt;=Swap2x2!$B$10,_xlfn.BINOM.DIST(A523,Swap2x2!$B$10,Swap2x2!$B$46,FALSE),0)</f>
        <v/>
      </c>
      <c r="C523">
        <f>IF(AND(A523&lt;=Swap2x2!$B$10,B523&lt;=$D$2*(1+1E-7)),1,0)</f>
        <v/>
      </c>
    </row>
    <row r="524">
      <c r="A524" t="n">
        <v>522</v>
      </c>
      <c r="B524">
        <f>IF(A524&lt;=Swap2x2!$B$10,_xlfn.BINOM.DIST(A524,Swap2x2!$B$10,Swap2x2!$B$46,FALSE),0)</f>
        <v/>
      </c>
      <c r="C524">
        <f>IF(AND(A524&lt;=Swap2x2!$B$10,B524&lt;=$D$2*(1+1E-7)),1,0)</f>
        <v/>
      </c>
    </row>
    <row r="525">
      <c r="A525" t="n">
        <v>523</v>
      </c>
      <c r="B525">
        <f>IF(A525&lt;=Swap2x2!$B$10,_xlfn.BINOM.DIST(A525,Swap2x2!$B$10,Swap2x2!$B$46,FALSE),0)</f>
        <v/>
      </c>
      <c r="C525">
        <f>IF(AND(A525&lt;=Swap2x2!$B$10,B525&lt;=$D$2*(1+1E-7)),1,0)</f>
        <v/>
      </c>
    </row>
    <row r="526">
      <c r="A526" t="n">
        <v>524</v>
      </c>
      <c r="B526">
        <f>IF(A526&lt;=Swap2x2!$B$10,_xlfn.BINOM.DIST(A526,Swap2x2!$B$10,Swap2x2!$B$46,FALSE),0)</f>
        <v/>
      </c>
      <c r="C526">
        <f>IF(AND(A526&lt;=Swap2x2!$B$10,B526&lt;=$D$2*(1+1E-7)),1,0)</f>
        <v/>
      </c>
    </row>
    <row r="527">
      <c r="A527" t="n">
        <v>525</v>
      </c>
      <c r="B527">
        <f>IF(A527&lt;=Swap2x2!$B$10,_xlfn.BINOM.DIST(A527,Swap2x2!$B$10,Swap2x2!$B$46,FALSE),0)</f>
        <v/>
      </c>
      <c r="C527">
        <f>IF(AND(A527&lt;=Swap2x2!$B$10,B527&lt;=$D$2*(1+1E-7)),1,0)</f>
        <v/>
      </c>
    </row>
    <row r="528">
      <c r="A528" t="n">
        <v>526</v>
      </c>
      <c r="B528">
        <f>IF(A528&lt;=Swap2x2!$B$10,_xlfn.BINOM.DIST(A528,Swap2x2!$B$10,Swap2x2!$B$46,FALSE),0)</f>
        <v/>
      </c>
      <c r="C528">
        <f>IF(AND(A528&lt;=Swap2x2!$B$10,B528&lt;=$D$2*(1+1E-7)),1,0)</f>
        <v/>
      </c>
    </row>
    <row r="529">
      <c r="A529" t="n">
        <v>527</v>
      </c>
      <c r="B529">
        <f>IF(A529&lt;=Swap2x2!$B$10,_xlfn.BINOM.DIST(A529,Swap2x2!$B$10,Swap2x2!$B$46,FALSE),0)</f>
        <v/>
      </c>
      <c r="C529">
        <f>IF(AND(A529&lt;=Swap2x2!$B$10,B529&lt;=$D$2*(1+1E-7)),1,0)</f>
        <v/>
      </c>
    </row>
    <row r="530">
      <c r="A530" t="n">
        <v>528</v>
      </c>
      <c r="B530">
        <f>IF(A530&lt;=Swap2x2!$B$10,_xlfn.BINOM.DIST(A530,Swap2x2!$B$10,Swap2x2!$B$46,FALSE),0)</f>
        <v/>
      </c>
      <c r="C530">
        <f>IF(AND(A530&lt;=Swap2x2!$B$10,B530&lt;=$D$2*(1+1E-7)),1,0)</f>
        <v/>
      </c>
    </row>
    <row r="531">
      <c r="A531" t="n">
        <v>529</v>
      </c>
      <c r="B531">
        <f>IF(A531&lt;=Swap2x2!$B$10,_xlfn.BINOM.DIST(A531,Swap2x2!$B$10,Swap2x2!$B$46,FALSE),0)</f>
        <v/>
      </c>
      <c r="C531">
        <f>IF(AND(A531&lt;=Swap2x2!$B$10,B531&lt;=$D$2*(1+1E-7)),1,0)</f>
        <v/>
      </c>
    </row>
    <row r="532">
      <c r="A532" t="n">
        <v>530</v>
      </c>
      <c r="B532">
        <f>IF(A532&lt;=Swap2x2!$B$10,_xlfn.BINOM.DIST(A532,Swap2x2!$B$10,Swap2x2!$B$46,FALSE),0)</f>
        <v/>
      </c>
      <c r="C532">
        <f>IF(AND(A532&lt;=Swap2x2!$B$10,B532&lt;=$D$2*(1+1E-7)),1,0)</f>
        <v/>
      </c>
    </row>
    <row r="533">
      <c r="A533" t="n">
        <v>531</v>
      </c>
      <c r="B533">
        <f>IF(A533&lt;=Swap2x2!$B$10,_xlfn.BINOM.DIST(A533,Swap2x2!$B$10,Swap2x2!$B$46,FALSE),0)</f>
        <v/>
      </c>
      <c r="C533">
        <f>IF(AND(A533&lt;=Swap2x2!$B$10,B533&lt;=$D$2*(1+1E-7)),1,0)</f>
        <v/>
      </c>
    </row>
    <row r="534">
      <c r="A534" t="n">
        <v>532</v>
      </c>
      <c r="B534">
        <f>IF(A534&lt;=Swap2x2!$B$10,_xlfn.BINOM.DIST(A534,Swap2x2!$B$10,Swap2x2!$B$46,FALSE),0)</f>
        <v/>
      </c>
      <c r="C534">
        <f>IF(AND(A534&lt;=Swap2x2!$B$10,B534&lt;=$D$2*(1+1E-7)),1,0)</f>
        <v/>
      </c>
    </row>
    <row r="535">
      <c r="A535" t="n">
        <v>533</v>
      </c>
      <c r="B535">
        <f>IF(A535&lt;=Swap2x2!$B$10,_xlfn.BINOM.DIST(A535,Swap2x2!$B$10,Swap2x2!$B$46,FALSE),0)</f>
        <v/>
      </c>
      <c r="C535">
        <f>IF(AND(A535&lt;=Swap2x2!$B$10,B535&lt;=$D$2*(1+1E-7)),1,0)</f>
        <v/>
      </c>
    </row>
    <row r="536">
      <c r="A536" t="n">
        <v>534</v>
      </c>
      <c r="B536">
        <f>IF(A536&lt;=Swap2x2!$B$10,_xlfn.BINOM.DIST(A536,Swap2x2!$B$10,Swap2x2!$B$46,FALSE),0)</f>
        <v/>
      </c>
      <c r="C536">
        <f>IF(AND(A536&lt;=Swap2x2!$B$10,B536&lt;=$D$2*(1+1E-7)),1,0)</f>
        <v/>
      </c>
    </row>
    <row r="537">
      <c r="A537" t="n">
        <v>535</v>
      </c>
      <c r="B537">
        <f>IF(A537&lt;=Swap2x2!$B$10,_xlfn.BINOM.DIST(A537,Swap2x2!$B$10,Swap2x2!$B$46,FALSE),0)</f>
        <v/>
      </c>
      <c r="C537">
        <f>IF(AND(A537&lt;=Swap2x2!$B$10,B537&lt;=$D$2*(1+1E-7)),1,0)</f>
        <v/>
      </c>
    </row>
    <row r="538">
      <c r="A538" t="n">
        <v>536</v>
      </c>
      <c r="B538">
        <f>IF(A538&lt;=Swap2x2!$B$10,_xlfn.BINOM.DIST(A538,Swap2x2!$B$10,Swap2x2!$B$46,FALSE),0)</f>
        <v/>
      </c>
      <c r="C538">
        <f>IF(AND(A538&lt;=Swap2x2!$B$10,B538&lt;=$D$2*(1+1E-7)),1,0)</f>
        <v/>
      </c>
    </row>
    <row r="539">
      <c r="A539" t="n">
        <v>537</v>
      </c>
      <c r="B539">
        <f>IF(A539&lt;=Swap2x2!$B$10,_xlfn.BINOM.DIST(A539,Swap2x2!$B$10,Swap2x2!$B$46,FALSE),0)</f>
        <v/>
      </c>
      <c r="C539">
        <f>IF(AND(A539&lt;=Swap2x2!$B$10,B539&lt;=$D$2*(1+1E-7)),1,0)</f>
        <v/>
      </c>
    </row>
    <row r="540">
      <c r="A540" t="n">
        <v>538</v>
      </c>
      <c r="B540">
        <f>IF(A540&lt;=Swap2x2!$B$10,_xlfn.BINOM.DIST(A540,Swap2x2!$B$10,Swap2x2!$B$46,FALSE),0)</f>
        <v/>
      </c>
      <c r="C540">
        <f>IF(AND(A540&lt;=Swap2x2!$B$10,B540&lt;=$D$2*(1+1E-7)),1,0)</f>
        <v/>
      </c>
    </row>
    <row r="541">
      <c r="A541" t="n">
        <v>539</v>
      </c>
      <c r="B541">
        <f>IF(A541&lt;=Swap2x2!$B$10,_xlfn.BINOM.DIST(A541,Swap2x2!$B$10,Swap2x2!$B$46,FALSE),0)</f>
        <v/>
      </c>
      <c r="C541">
        <f>IF(AND(A541&lt;=Swap2x2!$B$10,B541&lt;=$D$2*(1+1E-7)),1,0)</f>
        <v/>
      </c>
    </row>
    <row r="542">
      <c r="A542" t="n">
        <v>540</v>
      </c>
      <c r="B542">
        <f>IF(A542&lt;=Swap2x2!$B$10,_xlfn.BINOM.DIST(A542,Swap2x2!$B$10,Swap2x2!$B$46,FALSE),0)</f>
        <v/>
      </c>
      <c r="C542">
        <f>IF(AND(A542&lt;=Swap2x2!$B$10,B542&lt;=$D$2*(1+1E-7)),1,0)</f>
        <v/>
      </c>
    </row>
    <row r="543">
      <c r="A543" t="n">
        <v>541</v>
      </c>
      <c r="B543">
        <f>IF(A543&lt;=Swap2x2!$B$10,_xlfn.BINOM.DIST(A543,Swap2x2!$B$10,Swap2x2!$B$46,FALSE),0)</f>
        <v/>
      </c>
      <c r="C543">
        <f>IF(AND(A543&lt;=Swap2x2!$B$10,B543&lt;=$D$2*(1+1E-7)),1,0)</f>
        <v/>
      </c>
    </row>
    <row r="544">
      <c r="A544" t="n">
        <v>542</v>
      </c>
      <c r="B544">
        <f>IF(A544&lt;=Swap2x2!$B$10,_xlfn.BINOM.DIST(A544,Swap2x2!$B$10,Swap2x2!$B$46,FALSE),0)</f>
        <v/>
      </c>
      <c r="C544">
        <f>IF(AND(A544&lt;=Swap2x2!$B$10,B544&lt;=$D$2*(1+1E-7)),1,0)</f>
        <v/>
      </c>
    </row>
    <row r="545">
      <c r="A545" t="n">
        <v>543</v>
      </c>
      <c r="B545">
        <f>IF(A545&lt;=Swap2x2!$B$10,_xlfn.BINOM.DIST(A545,Swap2x2!$B$10,Swap2x2!$B$46,FALSE),0)</f>
        <v/>
      </c>
      <c r="C545">
        <f>IF(AND(A545&lt;=Swap2x2!$B$10,B545&lt;=$D$2*(1+1E-7)),1,0)</f>
        <v/>
      </c>
    </row>
    <row r="546">
      <c r="A546" t="n">
        <v>544</v>
      </c>
      <c r="B546">
        <f>IF(A546&lt;=Swap2x2!$B$10,_xlfn.BINOM.DIST(A546,Swap2x2!$B$10,Swap2x2!$B$46,FALSE),0)</f>
        <v/>
      </c>
      <c r="C546">
        <f>IF(AND(A546&lt;=Swap2x2!$B$10,B546&lt;=$D$2*(1+1E-7)),1,0)</f>
        <v/>
      </c>
    </row>
    <row r="547">
      <c r="A547" t="n">
        <v>545</v>
      </c>
      <c r="B547">
        <f>IF(A547&lt;=Swap2x2!$B$10,_xlfn.BINOM.DIST(A547,Swap2x2!$B$10,Swap2x2!$B$46,FALSE),0)</f>
        <v/>
      </c>
      <c r="C547">
        <f>IF(AND(A547&lt;=Swap2x2!$B$10,B547&lt;=$D$2*(1+1E-7)),1,0)</f>
        <v/>
      </c>
    </row>
    <row r="548">
      <c r="A548" t="n">
        <v>546</v>
      </c>
      <c r="B548">
        <f>IF(A548&lt;=Swap2x2!$B$10,_xlfn.BINOM.DIST(A548,Swap2x2!$B$10,Swap2x2!$B$46,FALSE),0)</f>
        <v/>
      </c>
      <c r="C548">
        <f>IF(AND(A548&lt;=Swap2x2!$B$10,B548&lt;=$D$2*(1+1E-7)),1,0)</f>
        <v/>
      </c>
    </row>
    <row r="549">
      <c r="A549" t="n">
        <v>547</v>
      </c>
      <c r="B549">
        <f>IF(A549&lt;=Swap2x2!$B$10,_xlfn.BINOM.DIST(A549,Swap2x2!$B$10,Swap2x2!$B$46,FALSE),0)</f>
        <v/>
      </c>
      <c r="C549">
        <f>IF(AND(A549&lt;=Swap2x2!$B$10,B549&lt;=$D$2*(1+1E-7)),1,0)</f>
        <v/>
      </c>
    </row>
    <row r="550">
      <c r="A550" t="n">
        <v>548</v>
      </c>
      <c r="B550">
        <f>IF(A550&lt;=Swap2x2!$B$10,_xlfn.BINOM.DIST(A550,Swap2x2!$B$10,Swap2x2!$B$46,FALSE),0)</f>
        <v/>
      </c>
      <c r="C550">
        <f>IF(AND(A550&lt;=Swap2x2!$B$10,B550&lt;=$D$2*(1+1E-7)),1,0)</f>
        <v/>
      </c>
    </row>
    <row r="551">
      <c r="A551" t="n">
        <v>549</v>
      </c>
      <c r="B551">
        <f>IF(A551&lt;=Swap2x2!$B$10,_xlfn.BINOM.DIST(A551,Swap2x2!$B$10,Swap2x2!$B$46,FALSE),0)</f>
        <v/>
      </c>
      <c r="C551">
        <f>IF(AND(A551&lt;=Swap2x2!$B$10,B551&lt;=$D$2*(1+1E-7)),1,0)</f>
        <v/>
      </c>
    </row>
    <row r="552">
      <c r="A552" t="n">
        <v>550</v>
      </c>
      <c r="B552">
        <f>IF(A552&lt;=Swap2x2!$B$10,_xlfn.BINOM.DIST(A552,Swap2x2!$B$10,Swap2x2!$B$46,FALSE),0)</f>
        <v/>
      </c>
      <c r="C552">
        <f>IF(AND(A552&lt;=Swap2x2!$B$10,B552&lt;=$D$2*(1+1E-7)),1,0)</f>
        <v/>
      </c>
    </row>
    <row r="553">
      <c r="A553" t="n">
        <v>551</v>
      </c>
      <c r="B553">
        <f>IF(A553&lt;=Swap2x2!$B$10,_xlfn.BINOM.DIST(A553,Swap2x2!$B$10,Swap2x2!$B$46,FALSE),0)</f>
        <v/>
      </c>
      <c r="C553">
        <f>IF(AND(A553&lt;=Swap2x2!$B$10,B553&lt;=$D$2*(1+1E-7)),1,0)</f>
        <v/>
      </c>
    </row>
    <row r="554">
      <c r="A554" t="n">
        <v>552</v>
      </c>
      <c r="B554">
        <f>IF(A554&lt;=Swap2x2!$B$10,_xlfn.BINOM.DIST(A554,Swap2x2!$B$10,Swap2x2!$B$46,FALSE),0)</f>
        <v/>
      </c>
      <c r="C554">
        <f>IF(AND(A554&lt;=Swap2x2!$B$10,B554&lt;=$D$2*(1+1E-7)),1,0)</f>
        <v/>
      </c>
    </row>
    <row r="555">
      <c r="A555" t="n">
        <v>553</v>
      </c>
      <c r="B555">
        <f>IF(A555&lt;=Swap2x2!$B$10,_xlfn.BINOM.DIST(A555,Swap2x2!$B$10,Swap2x2!$B$46,FALSE),0)</f>
        <v/>
      </c>
      <c r="C555">
        <f>IF(AND(A555&lt;=Swap2x2!$B$10,B555&lt;=$D$2*(1+1E-7)),1,0)</f>
        <v/>
      </c>
    </row>
    <row r="556">
      <c r="A556" t="n">
        <v>554</v>
      </c>
      <c r="B556">
        <f>IF(A556&lt;=Swap2x2!$B$10,_xlfn.BINOM.DIST(A556,Swap2x2!$B$10,Swap2x2!$B$46,FALSE),0)</f>
        <v/>
      </c>
      <c r="C556">
        <f>IF(AND(A556&lt;=Swap2x2!$B$10,B556&lt;=$D$2*(1+1E-7)),1,0)</f>
        <v/>
      </c>
    </row>
    <row r="557">
      <c r="A557" t="n">
        <v>555</v>
      </c>
      <c r="B557">
        <f>IF(A557&lt;=Swap2x2!$B$10,_xlfn.BINOM.DIST(A557,Swap2x2!$B$10,Swap2x2!$B$46,FALSE),0)</f>
        <v/>
      </c>
      <c r="C557">
        <f>IF(AND(A557&lt;=Swap2x2!$B$10,B557&lt;=$D$2*(1+1E-7)),1,0)</f>
        <v/>
      </c>
    </row>
    <row r="558">
      <c r="A558" t="n">
        <v>556</v>
      </c>
      <c r="B558">
        <f>IF(A558&lt;=Swap2x2!$B$10,_xlfn.BINOM.DIST(A558,Swap2x2!$B$10,Swap2x2!$B$46,FALSE),0)</f>
        <v/>
      </c>
      <c r="C558">
        <f>IF(AND(A558&lt;=Swap2x2!$B$10,B558&lt;=$D$2*(1+1E-7)),1,0)</f>
        <v/>
      </c>
    </row>
    <row r="559">
      <c r="A559" t="n">
        <v>557</v>
      </c>
      <c r="B559">
        <f>IF(A559&lt;=Swap2x2!$B$10,_xlfn.BINOM.DIST(A559,Swap2x2!$B$10,Swap2x2!$B$46,FALSE),0)</f>
        <v/>
      </c>
      <c r="C559">
        <f>IF(AND(A559&lt;=Swap2x2!$B$10,B559&lt;=$D$2*(1+1E-7)),1,0)</f>
        <v/>
      </c>
    </row>
    <row r="560">
      <c r="A560" t="n">
        <v>558</v>
      </c>
      <c r="B560">
        <f>IF(A560&lt;=Swap2x2!$B$10,_xlfn.BINOM.DIST(A560,Swap2x2!$B$10,Swap2x2!$B$46,FALSE),0)</f>
        <v/>
      </c>
      <c r="C560">
        <f>IF(AND(A560&lt;=Swap2x2!$B$10,B560&lt;=$D$2*(1+1E-7)),1,0)</f>
        <v/>
      </c>
    </row>
    <row r="561">
      <c r="A561" t="n">
        <v>559</v>
      </c>
      <c r="B561">
        <f>IF(A561&lt;=Swap2x2!$B$10,_xlfn.BINOM.DIST(A561,Swap2x2!$B$10,Swap2x2!$B$46,FALSE),0)</f>
        <v/>
      </c>
      <c r="C561">
        <f>IF(AND(A561&lt;=Swap2x2!$B$10,B561&lt;=$D$2*(1+1E-7)),1,0)</f>
        <v/>
      </c>
    </row>
    <row r="562">
      <c r="A562" t="n">
        <v>560</v>
      </c>
      <c r="B562">
        <f>IF(A562&lt;=Swap2x2!$B$10,_xlfn.BINOM.DIST(A562,Swap2x2!$B$10,Swap2x2!$B$46,FALSE),0)</f>
        <v/>
      </c>
      <c r="C562">
        <f>IF(AND(A562&lt;=Swap2x2!$B$10,B562&lt;=$D$2*(1+1E-7)),1,0)</f>
        <v/>
      </c>
    </row>
    <row r="563">
      <c r="A563" t="n">
        <v>561</v>
      </c>
      <c r="B563">
        <f>IF(A563&lt;=Swap2x2!$B$10,_xlfn.BINOM.DIST(A563,Swap2x2!$B$10,Swap2x2!$B$46,FALSE),0)</f>
        <v/>
      </c>
      <c r="C563">
        <f>IF(AND(A563&lt;=Swap2x2!$B$10,B563&lt;=$D$2*(1+1E-7)),1,0)</f>
        <v/>
      </c>
    </row>
    <row r="564">
      <c r="A564" t="n">
        <v>562</v>
      </c>
      <c r="B564">
        <f>IF(A564&lt;=Swap2x2!$B$10,_xlfn.BINOM.DIST(A564,Swap2x2!$B$10,Swap2x2!$B$46,FALSE),0)</f>
        <v/>
      </c>
      <c r="C564">
        <f>IF(AND(A564&lt;=Swap2x2!$B$10,B564&lt;=$D$2*(1+1E-7)),1,0)</f>
        <v/>
      </c>
    </row>
    <row r="565">
      <c r="A565" t="n">
        <v>563</v>
      </c>
      <c r="B565">
        <f>IF(A565&lt;=Swap2x2!$B$10,_xlfn.BINOM.DIST(A565,Swap2x2!$B$10,Swap2x2!$B$46,FALSE),0)</f>
        <v/>
      </c>
      <c r="C565">
        <f>IF(AND(A565&lt;=Swap2x2!$B$10,B565&lt;=$D$2*(1+1E-7)),1,0)</f>
        <v/>
      </c>
    </row>
    <row r="566">
      <c r="A566" t="n">
        <v>564</v>
      </c>
      <c r="B566">
        <f>IF(A566&lt;=Swap2x2!$B$10,_xlfn.BINOM.DIST(A566,Swap2x2!$B$10,Swap2x2!$B$46,FALSE),0)</f>
        <v/>
      </c>
      <c r="C566">
        <f>IF(AND(A566&lt;=Swap2x2!$B$10,B566&lt;=$D$2*(1+1E-7)),1,0)</f>
        <v/>
      </c>
    </row>
    <row r="567">
      <c r="A567" t="n">
        <v>565</v>
      </c>
      <c r="B567">
        <f>IF(A567&lt;=Swap2x2!$B$10,_xlfn.BINOM.DIST(A567,Swap2x2!$B$10,Swap2x2!$B$46,FALSE),0)</f>
        <v/>
      </c>
      <c r="C567">
        <f>IF(AND(A567&lt;=Swap2x2!$B$10,B567&lt;=$D$2*(1+1E-7)),1,0)</f>
        <v/>
      </c>
    </row>
    <row r="568">
      <c r="A568" t="n">
        <v>566</v>
      </c>
      <c r="B568">
        <f>IF(A568&lt;=Swap2x2!$B$10,_xlfn.BINOM.DIST(A568,Swap2x2!$B$10,Swap2x2!$B$46,FALSE),0)</f>
        <v/>
      </c>
      <c r="C568">
        <f>IF(AND(A568&lt;=Swap2x2!$B$10,B568&lt;=$D$2*(1+1E-7)),1,0)</f>
        <v/>
      </c>
    </row>
    <row r="569">
      <c r="A569" t="n">
        <v>567</v>
      </c>
      <c r="B569">
        <f>IF(A569&lt;=Swap2x2!$B$10,_xlfn.BINOM.DIST(A569,Swap2x2!$B$10,Swap2x2!$B$46,FALSE),0)</f>
        <v/>
      </c>
      <c r="C569">
        <f>IF(AND(A569&lt;=Swap2x2!$B$10,B569&lt;=$D$2*(1+1E-7)),1,0)</f>
        <v/>
      </c>
    </row>
    <row r="570">
      <c r="A570" t="n">
        <v>568</v>
      </c>
      <c r="B570">
        <f>IF(A570&lt;=Swap2x2!$B$10,_xlfn.BINOM.DIST(A570,Swap2x2!$B$10,Swap2x2!$B$46,FALSE),0)</f>
        <v/>
      </c>
      <c r="C570">
        <f>IF(AND(A570&lt;=Swap2x2!$B$10,B570&lt;=$D$2*(1+1E-7)),1,0)</f>
        <v/>
      </c>
    </row>
    <row r="571">
      <c r="A571" t="n">
        <v>569</v>
      </c>
      <c r="B571">
        <f>IF(A571&lt;=Swap2x2!$B$10,_xlfn.BINOM.DIST(A571,Swap2x2!$B$10,Swap2x2!$B$46,FALSE),0)</f>
        <v/>
      </c>
      <c r="C571">
        <f>IF(AND(A571&lt;=Swap2x2!$B$10,B571&lt;=$D$2*(1+1E-7)),1,0)</f>
        <v/>
      </c>
    </row>
    <row r="572">
      <c r="A572" t="n">
        <v>570</v>
      </c>
      <c r="B572">
        <f>IF(A572&lt;=Swap2x2!$B$10,_xlfn.BINOM.DIST(A572,Swap2x2!$B$10,Swap2x2!$B$46,FALSE),0)</f>
        <v/>
      </c>
      <c r="C572">
        <f>IF(AND(A572&lt;=Swap2x2!$B$10,B572&lt;=$D$2*(1+1E-7)),1,0)</f>
        <v/>
      </c>
    </row>
    <row r="573">
      <c r="A573" t="n">
        <v>571</v>
      </c>
      <c r="B573">
        <f>IF(A573&lt;=Swap2x2!$B$10,_xlfn.BINOM.DIST(A573,Swap2x2!$B$10,Swap2x2!$B$46,FALSE),0)</f>
        <v/>
      </c>
      <c r="C573">
        <f>IF(AND(A573&lt;=Swap2x2!$B$10,B573&lt;=$D$2*(1+1E-7)),1,0)</f>
        <v/>
      </c>
    </row>
    <row r="574">
      <c r="A574" t="n">
        <v>572</v>
      </c>
      <c r="B574">
        <f>IF(A574&lt;=Swap2x2!$B$10,_xlfn.BINOM.DIST(A574,Swap2x2!$B$10,Swap2x2!$B$46,FALSE),0)</f>
        <v/>
      </c>
      <c r="C574">
        <f>IF(AND(A574&lt;=Swap2x2!$B$10,B574&lt;=$D$2*(1+1E-7)),1,0)</f>
        <v/>
      </c>
    </row>
    <row r="575">
      <c r="A575" t="n">
        <v>573</v>
      </c>
      <c r="B575">
        <f>IF(A575&lt;=Swap2x2!$B$10,_xlfn.BINOM.DIST(A575,Swap2x2!$B$10,Swap2x2!$B$46,FALSE),0)</f>
        <v/>
      </c>
      <c r="C575">
        <f>IF(AND(A575&lt;=Swap2x2!$B$10,B575&lt;=$D$2*(1+1E-7)),1,0)</f>
        <v/>
      </c>
    </row>
    <row r="576">
      <c r="A576" t="n">
        <v>574</v>
      </c>
      <c r="B576">
        <f>IF(A576&lt;=Swap2x2!$B$10,_xlfn.BINOM.DIST(A576,Swap2x2!$B$10,Swap2x2!$B$46,FALSE),0)</f>
        <v/>
      </c>
      <c r="C576">
        <f>IF(AND(A576&lt;=Swap2x2!$B$10,B576&lt;=$D$2*(1+1E-7)),1,0)</f>
        <v/>
      </c>
    </row>
    <row r="577">
      <c r="A577" t="n">
        <v>575</v>
      </c>
      <c r="B577">
        <f>IF(A577&lt;=Swap2x2!$B$10,_xlfn.BINOM.DIST(A577,Swap2x2!$B$10,Swap2x2!$B$46,FALSE),0)</f>
        <v/>
      </c>
      <c r="C577">
        <f>IF(AND(A577&lt;=Swap2x2!$B$10,B577&lt;=$D$2*(1+1E-7)),1,0)</f>
        <v/>
      </c>
    </row>
    <row r="578">
      <c r="A578" t="n">
        <v>576</v>
      </c>
      <c r="B578">
        <f>IF(A578&lt;=Swap2x2!$B$10,_xlfn.BINOM.DIST(A578,Swap2x2!$B$10,Swap2x2!$B$46,FALSE),0)</f>
        <v/>
      </c>
      <c r="C578">
        <f>IF(AND(A578&lt;=Swap2x2!$B$10,B578&lt;=$D$2*(1+1E-7)),1,0)</f>
        <v/>
      </c>
    </row>
    <row r="579">
      <c r="A579" t="n">
        <v>577</v>
      </c>
      <c r="B579">
        <f>IF(A579&lt;=Swap2x2!$B$10,_xlfn.BINOM.DIST(A579,Swap2x2!$B$10,Swap2x2!$B$46,FALSE),0)</f>
        <v/>
      </c>
      <c r="C579">
        <f>IF(AND(A579&lt;=Swap2x2!$B$10,B579&lt;=$D$2*(1+1E-7)),1,0)</f>
        <v/>
      </c>
    </row>
    <row r="580">
      <c r="A580" t="n">
        <v>578</v>
      </c>
      <c r="B580">
        <f>IF(A580&lt;=Swap2x2!$B$10,_xlfn.BINOM.DIST(A580,Swap2x2!$B$10,Swap2x2!$B$46,FALSE),0)</f>
        <v/>
      </c>
      <c r="C580">
        <f>IF(AND(A580&lt;=Swap2x2!$B$10,B580&lt;=$D$2*(1+1E-7)),1,0)</f>
        <v/>
      </c>
    </row>
    <row r="581">
      <c r="A581" t="n">
        <v>579</v>
      </c>
      <c r="B581">
        <f>IF(A581&lt;=Swap2x2!$B$10,_xlfn.BINOM.DIST(A581,Swap2x2!$B$10,Swap2x2!$B$46,FALSE),0)</f>
        <v/>
      </c>
      <c r="C581">
        <f>IF(AND(A581&lt;=Swap2x2!$B$10,B581&lt;=$D$2*(1+1E-7)),1,0)</f>
        <v/>
      </c>
    </row>
    <row r="582">
      <c r="A582" t="n">
        <v>580</v>
      </c>
      <c r="B582">
        <f>IF(A582&lt;=Swap2x2!$B$10,_xlfn.BINOM.DIST(A582,Swap2x2!$B$10,Swap2x2!$B$46,FALSE),0)</f>
        <v/>
      </c>
      <c r="C582">
        <f>IF(AND(A582&lt;=Swap2x2!$B$10,B582&lt;=$D$2*(1+1E-7)),1,0)</f>
        <v/>
      </c>
    </row>
    <row r="583">
      <c r="A583" t="n">
        <v>581</v>
      </c>
      <c r="B583">
        <f>IF(A583&lt;=Swap2x2!$B$10,_xlfn.BINOM.DIST(A583,Swap2x2!$B$10,Swap2x2!$B$46,FALSE),0)</f>
        <v/>
      </c>
      <c r="C583">
        <f>IF(AND(A583&lt;=Swap2x2!$B$10,B583&lt;=$D$2*(1+1E-7)),1,0)</f>
        <v/>
      </c>
    </row>
    <row r="584">
      <c r="A584" t="n">
        <v>582</v>
      </c>
      <c r="B584">
        <f>IF(A584&lt;=Swap2x2!$B$10,_xlfn.BINOM.DIST(A584,Swap2x2!$B$10,Swap2x2!$B$46,FALSE),0)</f>
        <v/>
      </c>
      <c r="C584">
        <f>IF(AND(A584&lt;=Swap2x2!$B$10,B584&lt;=$D$2*(1+1E-7)),1,0)</f>
        <v/>
      </c>
    </row>
    <row r="585">
      <c r="A585" t="n">
        <v>583</v>
      </c>
      <c r="B585">
        <f>IF(A585&lt;=Swap2x2!$B$10,_xlfn.BINOM.DIST(A585,Swap2x2!$B$10,Swap2x2!$B$46,FALSE),0)</f>
        <v/>
      </c>
      <c r="C585">
        <f>IF(AND(A585&lt;=Swap2x2!$B$10,B585&lt;=$D$2*(1+1E-7)),1,0)</f>
        <v/>
      </c>
    </row>
    <row r="586">
      <c r="A586" t="n">
        <v>584</v>
      </c>
      <c r="B586">
        <f>IF(A586&lt;=Swap2x2!$B$10,_xlfn.BINOM.DIST(A586,Swap2x2!$B$10,Swap2x2!$B$46,FALSE),0)</f>
        <v/>
      </c>
      <c r="C586">
        <f>IF(AND(A586&lt;=Swap2x2!$B$10,B586&lt;=$D$2*(1+1E-7)),1,0)</f>
        <v/>
      </c>
    </row>
    <row r="587">
      <c r="A587" t="n">
        <v>585</v>
      </c>
      <c r="B587">
        <f>IF(A587&lt;=Swap2x2!$B$10,_xlfn.BINOM.DIST(A587,Swap2x2!$B$10,Swap2x2!$B$46,FALSE),0)</f>
        <v/>
      </c>
      <c r="C587">
        <f>IF(AND(A587&lt;=Swap2x2!$B$10,B587&lt;=$D$2*(1+1E-7)),1,0)</f>
        <v/>
      </c>
    </row>
    <row r="588">
      <c r="A588" t="n">
        <v>586</v>
      </c>
      <c r="B588">
        <f>IF(A588&lt;=Swap2x2!$B$10,_xlfn.BINOM.DIST(A588,Swap2x2!$B$10,Swap2x2!$B$46,FALSE),0)</f>
        <v/>
      </c>
      <c r="C588">
        <f>IF(AND(A588&lt;=Swap2x2!$B$10,B588&lt;=$D$2*(1+1E-7)),1,0)</f>
        <v/>
      </c>
    </row>
    <row r="589">
      <c r="A589" t="n">
        <v>587</v>
      </c>
      <c r="B589">
        <f>IF(A589&lt;=Swap2x2!$B$10,_xlfn.BINOM.DIST(A589,Swap2x2!$B$10,Swap2x2!$B$46,FALSE),0)</f>
        <v/>
      </c>
      <c r="C589">
        <f>IF(AND(A589&lt;=Swap2x2!$B$10,B589&lt;=$D$2*(1+1E-7)),1,0)</f>
        <v/>
      </c>
    </row>
    <row r="590">
      <c r="A590" t="n">
        <v>588</v>
      </c>
      <c r="B590">
        <f>IF(A590&lt;=Swap2x2!$B$10,_xlfn.BINOM.DIST(A590,Swap2x2!$B$10,Swap2x2!$B$46,FALSE),0)</f>
        <v/>
      </c>
      <c r="C590">
        <f>IF(AND(A590&lt;=Swap2x2!$B$10,B590&lt;=$D$2*(1+1E-7)),1,0)</f>
        <v/>
      </c>
    </row>
    <row r="591">
      <c r="A591" t="n">
        <v>589</v>
      </c>
      <c r="B591">
        <f>IF(A591&lt;=Swap2x2!$B$10,_xlfn.BINOM.DIST(A591,Swap2x2!$B$10,Swap2x2!$B$46,FALSE),0)</f>
        <v/>
      </c>
      <c r="C591">
        <f>IF(AND(A591&lt;=Swap2x2!$B$10,B591&lt;=$D$2*(1+1E-7)),1,0)</f>
        <v/>
      </c>
    </row>
    <row r="592">
      <c r="A592" t="n">
        <v>590</v>
      </c>
      <c r="B592">
        <f>IF(A592&lt;=Swap2x2!$B$10,_xlfn.BINOM.DIST(A592,Swap2x2!$B$10,Swap2x2!$B$46,FALSE),0)</f>
        <v/>
      </c>
      <c r="C592">
        <f>IF(AND(A592&lt;=Swap2x2!$B$10,B592&lt;=$D$2*(1+1E-7)),1,0)</f>
        <v/>
      </c>
    </row>
    <row r="593">
      <c r="A593" t="n">
        <v>591</v>
      </c>
      <c r="B593">
        <f>IF(A593&lt;=Swap2x2!$B$10,_xlfn.BINOM.DIST(A593,Swap2x2!$B$10,Swap2x2!$B$46,FALSE),0)</f>
        <v/>
      </c>
      <c r="C593">
        <f>IF(AND(A593&lt;=Swap2x2!$B$10,B593&lt;=$D$2*(1+1E-7)),1,0)</f>
        <v/>
      </c>
    </row>
    <row r="594">
      <c r="A594" t="n">
        <v>592</v>
      </c>
      <c r="B594">
        <f>IF(A594&lt;=Swap2x2!$B$10,_xlfn.BINOM.DIST(A594,Swap2x2!$B$10,Swap2x2!$B$46,FALSE),0)</f>
        <v/>
      </c>
      <c r="C594">
        <f>IF(AND(A594&lt;=Swap2x2!$B$10,B594&lt;=$D$2*(1+1E-7)),1,0)</f>
        <v/>
      </c>
    </row>
    <row r="595">
      <c r="A595" t="n">
        <v>593</v>
      </c>
      <c r="B595">
        <f>IF(A595&lt;=Swap2x2!$B$10,_xlfn.BINOM.DIST(A595,Swap2x2!$B$10,Swap2x2!$B$46,FALSE),0)</f>
        <v/>
      </c>
      <c r="C595">
        <f>IF(AND(A595&lt;=Swap2x2!$B$10,B595&lt;=$D$2*(1+1E-7)),1,0)</f>
        <v/>
      </c>
    </row>
    <row r="596">
      <c r="A596" t="n">
        <v>594</v>
      </c>
      <c r="B596">
        <f>IF(A596&lt;=Swap2x2!$B$10,_xlfn.BINOM.DIST(A596,Swap2x2!$B$10,Swap2x2!$B$46,FALSE),0)</f>
        <v/>
      </c>
      <c r="C596">
        <f>IF(AND(A596&lt;=Swap2x2!$B$10,B596&lt;=$D$2*(1+1E-7)),1,0)</f>
        <v/>
      </c>
    </row>
    <row r="597">
      <c r="A597" t="n">
        <v>595</v>
      </c>
      <c r="B597">
        <f>IF(A597&lt;=Swap2x2!$B$10,_xlfn.BINOM.DIST(A597,Swap2x2!$B$10,Swap2x2!$B$46,FALSE),0)</f>
        <v/>
      </c>
      <c r="C597">
        <f>IF(AND(A597&lt;=Swap2x2!$B$10,B597&lt;=$D$2*(1+1E-7)),1,0)</f>
        <v/>
      </c>
    </row>
    <row r="598">
      <c r="A598" t="n">
        <v>596</v>
      </c>
      <c r="B598">
        <f>IF(A598&lt;=Swap2x2!$B$10,_xlfn.BINOM.DIST(A598,Swap2x2!$B$10,Swap2x2!$B$46,FALSE),0)</f>
        <v/>
      </c>
      <c r="C598">
        <f>IF(AND(A598&lt;=Swap2x2!$B$10,B598&lt;=$D$2*(1+1E-7)),1,0)</f>
        <v/>
      </c>
    </row>
    <row r="599">
      <c r="A599" t="n">
        <v>597</v>
      </c>
      <c r="B599">
        <f>IF(A599&lt;=Swap2x2!$B$10,_xlfn.BINOM.DIST(A599,Swap2x2!$B$10,Swap2x2!$B$46,FALSE),0)</f>
        <v/>
      </c>
      <c r="C599">
        <f>IF(AND(A599&lt;=Swap2x2!$B$10,B599&lt;=$D$2*(1+1E-7)),1,0)</f>
        <v/>
      </c>
    </row>
    <row r="600">
      <c r="A600" t="n">
        <v>598</v>
      </c>
      <c r="B600">
        <f>IF(A600&lt;=Swap2x2!$B$10,_xlfn.BINOM.DIST(A600,Swap2x2!$B$10,Swap2x2!$B$46,FALSE),0)</f>
        <v/>
      </c>
      <c r="C600">
        <f>IF(AND(A600&lt;=Swap2x2!$B$10,B600&lt;=$D$2*(1+1E-7)),1,0)</f>
        <v/>
      </c>
    </row>
    <row r="601">
      <c r="A601" t="n">
        <v>599</v>
      </c>
      <c r="B601">
        <f>IF(A601&lt;=Swap2x2!$B$10,_xlfn.BINOM.DIST(A601,Swap2x2!$B$10,Swap2x2!$B$46,FALSE),0)</f>
        <v/>
      </c>
      <c r="C601">
        <f>IF(AND(A601&lt;=Swap2x2!$B$10,B601&lt;=$D$2*(1+1E-7)),1,0)</f>
        <v/>
      </c>
    </row>
    <row r="602">
      <c r="A602" t="n">
        <v>600</v>
      </c>
      <c r="B602">
        <f>IF(A602&lt;=Swap2x2!$B$10,_xlfn.BINOM.DIST(A602,Swap2x2!$B$10,Swap2x2!$B$46,FALSE),0)</f>
        <v/>
      </c>
      <c r="C602">
        <f>IF(AND(A602&lt;=Swap2x2!$B$10,B602&lt;=$D$2*(1+1E-7)),1,0)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2" t="inlineStr">
        <is>
          <t>Banda de exploración: aprobar al azar una fracción ε de los rechazados</t>
        </is>
      </c>
    </row>
    <row r="3">
      <c r="A3" t="inlineStr">
        <is>
          <t>Solicitudes por mes</t>
        </is>
      </c>
      <c r="B3" s="13" t="n">
        <v>3000</v>
      </c>
    </row>
    <row r="4">
      <c r="A4" t="inlineStr">
        <is>
          <t>Tasa de rechazo de la política vieja</t>
        </is>
      </c>
      <c r="B4" s="3" t="n">
        <v>0.075</v>
      </c>
    </row>
    <row r="5">
      <c r="A5" t="inlineStr">
        <is>
          <t>Fracción de rechazados en la región swap-in</t>
        </is>
      </c>
      <c r="B5" s="3" t="n">
        <v>0.7</v>
      </c>
    </row>
    <row r="6">
      <c r="A6" t="inlineStr">
        <is>
          <t>ε (fracción explorada)</t>
        </is>
      </c>
      <c r="B6" s="3" t="n">
        <v>0.1</v>
      </c>
    </row>
    <row r="7">
      <c r="A7" t="inlineStr">
        <is>
          <t>Meses de exploración</t>
        </is>
      </c>
      <c r="B7" s="13" t="n">
        <v>6</v>
      </c>
    </row>
    <row r="8">
      <c r="A8" t="inlineStr">
        <is>
          <t>Mora esperada del swap-in (supuesto previo)</t>
        </is>
      </c>
      <c r="B8" s="3" t="n">
        <v>0.23</v>
      </c>
    </row>
    <row r="9">
      <c r="A9" t="inlineStr">
        <is>
          <t>Mora esperada del resto de rechazados</t>
        </is>
      </c>
      <c r="B9" s="3" t="n">
        <v>0.55</v>
      </c>
    </row>
    <row r="10">
      <c r="A10" t="inlineStr">
        <is>
          <t>EAD medio (MM$)</t>
        </is>
      </c>
      <c r="B10" s="14" t="n">
        <v>2.5</v>
      </c>
    </row>
    <row r="11">
      <c r="A11" t="inlineStr">
        <is>
          <t>LGD</t>
        </is>
      </c>
      <c r="B11" s="3" t="n">
        <v>0.45</v>
      </c>
    </row>
    <row r="12">
      <c r="A12" s="4" t="inlineStr">
        <is>
          <t>Resultados</t>
        </is>
      </c>
      <c r="B12" s="3" t="n">
        <v>0.09</v>
      </c>
    </row>
    <row r="13">
      <c r="A13" t="inlineStr">
        <is>
          <t>Rechazados en el periodo</t>
        </is>
      </c>
      <c r="B13" s="12">
        <f>B3*B4*B7</f>
        <v/>
      </c>
    </row>
    <row r="14">
      <c r="A14" t="inlineStr">
        <is>
          <t>Explorados (todos los rechazados)</t>
        </is>
      </c>
      <c r="B14" s="12">
        <f>B13*B6</f>
        <v/>
      </c>
    </row>
    <row r="15">
      <c r="A15" t="inlineStr">
        <is>
          <t>Explorados útiles (en swap-in)</t>
        </is>
      </c>
      <c r="B15" s="12">
        <f>B14*B5</f>
        <v/>
      </c>
    </row>
    <row r="16">
      <c r="A16" t="inlineStr">
        <is>
          <t>Error estándar de la mora estimada del swap-in</t>
        </is>
      </c>
      <c r="B16" s="6">
        <f>SQRT(B8*(1-B8)/B15)</f>
        <v/>
      </c>
    </row>
    <row r="17">
      <c r="A17" t="inlineStr">
        <is>
          <t>Mora media de los explorados</t>
        </is>
      </c>
      <c r="B17" s="8">
        <f>B5*B8+(1-B5)*B9</f>
        <v/>
      </c>
    </row>
    <row r="18">
      <c r="A18" t="inlineStr">
        <is>
          <t>Costo neto esperado, todos (MM$)</t>
        </is>
      </c>
      <c r="B18" s="7">
        <f>B14*B10*(B11*B17-B12)</f>
        <v/>
      </c>
    </row>
    <row r="19">
      <c r="A19" t="inlineStr">
        <is>
          <t>Costo neto esperado, focalizada (MM$)</t>
        </is>
      </c>
      <c r="B19" s="7">
        <f>B15*B10*(B11*B8-B12)</f>
        <v/>
      </c>
    </row>
    <row r="20">
      <c r="A20" t="inlineStr">
        <is>
          <t>Costo por explorado útil, todos (MM$)</t>
        </is>
      </c>
      <c r="B20" s="15">
        <f>B18/B15</f>
        <v/>
      </c>
    </row>
    <row r="21">
      <c r="A21" t="inlineStr">
        <is>
          <t>Costo por explorado útil, focalizada (MM$)</t>
        </is>
      </c>
      <c r="B21" s="15">
        <f>B19/B15</f>
        <v/>
      </c>
    </row>
    <row r="22">
      <c r="A22" t="inlineStr">
        <is>
          <t>Mora de quiebre del swap-in (margen / LGD)</t>
        </is>
      </c>
      <c r="B22" s="8">
        <f>B12/B11</f>
        <v/>
      </c>
    </row>
    <row r="23">
      <c r="A23" t="inlineStr">
        <is>
          <t>Distancia al quiebre en EE (|b* − b| / EE)</t>
        </is>
      </c>
      <c r="B23" s="7">
        <f>ABS(B22-B8)/B16</f>
        <v/>
      </c>
    </row>
    <row r="24">
      <c r="A24" t="inlineStr">
        <is>
          <t>P(decisión errada) aprox. normal</t>
        </is>
      </c>
      <c r="B24" s="8">
        <f>_xlfn.NORM.S.DIST(-B23,TRUE)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2026-09-28T06:47:24Z</dcterms:created>
  <dcterms:modified xmlns:dcterms="http://purl.org/dc/terms/" xmlns:xsi="http://www.w3.org/2001/XMLSchema-instance" xsi:type="dcterms:W3CDTF">2026-09-28T06:47:24Z</dcterms:modified>
</cp:coreProperties>
</file>