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Bandas" sheetId="3" state="visible" r:id="rId3"/>
    <sheet xmlns:r="http://schemas.openxmlformats.org/officeDocument/2006/relationships" name="Estrategia" sheetId="4" state="visible" r:id="rId4"/>
    <sheet xmlns:r="http://schemas.openxmlformats.org/officeDocument/2006/relationships" name="Breakeven" sheetId="5" state="visible" r:id="rId5"/>
    <sheet xmlns:r="http://schemas.openxmlformats.org/officeDocument/2006/relationships" name="LGD_motos" sheetId="6" state="visible" r:id="rId6"/>
    <sheet xmlns:r="http://schemas.openxmlformats.org/officeDocument/2006/relationships" name="Default_ba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%"/>
    <numFmt numFmtId="166" formatCode="0.0"/>
    <numFmt numFmtId="167" formatCode="0.0000"/>
    <numFmt numFmtId="168" formatCode="0.000"/>
    <numFmt numFmtId="169" formatCode="#,##0.0"/>
    <numFmt numFmtId="170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4E79"/>
      <sz val="11"/>
    </font>
    <font>
      <b val="1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9C4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3" fontId="0" fillId="4" borderId="1" pivotButton="0" quotePrefix="0" xfId="0"/>
    <xf numFmtId="10" fontId="0" fillId="3" borderId="1" pivotButton="0" quotePrefix="0" xfId="0"/>
    <xf numFmtId="10" fontId="0" fillId="4" borderId="1" pivotButton="0" quotePrefix="0" xfId="0"/>
    <xf numFmtId="1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167" fontId="0" fillId="4" borderId="1" pivotButton="0" quotePrefix="0" xfId="0"/>
    <xf numFmtId="0" fontId="4" fillId="0" borderId="0" pivotButton="0" quotePrefix="0" xfId="0"/>
    <xf numFmtId="1" fontId="0" fillId="0" borderId="1" pivotButton="0" quotePrefix="0" xfId="0"/>
    <xf numFmtId="0" fontId="3" fillId="0" borderId="1" pivotButton="0" quotePrefix="0" xfId="0"/>
    <xf numFmtId="1" fontId="0" fillId="4" borderId="1" pivotButton="0" quotePrefix="0" xfId="0"/>
    <xf numFmtId="168" fontId="0" fillId="4" borderId="1" pivotButton="0" quotePrefix="0" xfId="0"/>
    <xf numFmtId="3" fontId="0" fillId="5" borderId="1" pivotButton="0" quotePrefix="0" xfId="0"/>
    <xf numFmtId="169" fontId="0" fillId="4" borderId="1" pivotButton="0" quotePrefix="0" xfId="0"/>
    <xf numFmtId="16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0" fillId="4" borderId="1" pivotButton="0" quotePrefix="0" xfId="0"/>
    <xf numFmtId="2" fontId="0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168" fontId="0" fillId="5" borderId="1" pivotButton="0" quotePrefix="0" xfId="0"/>
    <xf numFmtId="10" fontId="0" fillId="5" borderId="1" pivotButton="0" quotePrefix="0" xfId="0"/>
    <xf numFmtId="166" fontId="0" fillId="5" borderId="1" pivotButton="0" quotePrefix="0" xfId="0"/>
    <xf numFmtId="0" fontId="3" fillId="0" borderId="0" pivotButton="0" quotePrefix="0" xfId="0"/>
    <xf numFmtId="2" fontId="0" fillId="3" borderId="1" pivotButton="0" quotePrefix="0" xfId="0"/>
    <xf numFmtId="167" fontId="0" fillId="5" borderId="1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3" fillId="2" borderId="1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M17 · Tabla de estrategia para crédito de motos (planilla principal de la Serie 2)</t>
        </is>
      </c>
    </row>
    <row r="2">
      <c r="A2" s="2" t="inlineStr">
        <is>
          <t>Qué es</t>
        </is>
      </c>
    </row>
    <row r="3">
      <c r="A3" s="3" t="inlineStr">
        <is>
          <t>Una calculadora viva de estrategia de originación para un crédito de moto con cuota fija y la moto como garantía. Para cada banda de la master scale calcula PD de vida, LGD por mes de default, pérdida esperada (EL), valor presente neto esperado (utilidad), tasa requerida y si cabe bajo la tasa máxima convencional (TMC). Luego arma la tabla de estrategia (un cutoff por fila) y el cutoff de breakeven.</t>
        </is>
      </c>
    </row>
    <row r="4">
      <c r="A4" s="4" t="inlineStr">
        <is>
          <t>Todos los números por defecto son GENÉRICOS e ILUSTRATIVOS (rangos plausibles, no datos de ninguna empresa). Reemplácelos por los suyos: la planilla es una herramienta de razonamiento, no una fuente de datos.</t>
        </is>
      </c>
    </row>
    <row r="5">
      <c r="A5" s="2" t="inlineStr">
        <is>
          <t>Cómo usarla</t>
        </is>
      </c>
    </row>
    <row r="6">
      <c r="A6" s="3" t="inlineStr">
        <is>
          <t>1. Hoja Parametros: edite las celdas AMARILLAS (precio, pie, tasa, plazo ≤ 60, depreciación, recupero, costos, TMC, escala del score, apetito). Las celdas GRISES son derivadas: no las edite.</t>
        </is>
      </c>
    </row>
    <row r="7">
      <c r="A7" s="3" t="inlineStr">
        <is>
          <t>2. Hoja Bandas: edite la PD a 12 meses calibrada de cada banda, la mezcla de solicitudes (% que debe sumar 100%) y el monto medio financiado por banda (por defecto, el monto del caso).</t>
        </is>
      </c>
    </row>
    <row r="8">
      <c r="A8" s="3" t="inlineStr">
        <is>
          <t>3. Lea Estrategia (una fila por cutoff: aprobación, PD media, monto, EL, margen, utilidad), Breakeven (odds y score de breakeven, sensibilidad) y LGD_motos (cronograma, valor de la moto y LGD por mes de default).</t>
        </is>
      </c>
    </row>
    <row r="9">
      <c r="A9" s="3" t="inlineStr">
        <is>
          <t>4. Default_bandas es la maquinaria: distribución de tiempos de default por banda bajo riesgos proporcionales. Normalmente no se toca.</t>
        </is>
      </c>
    </row>
    <row r="10">
      <c r="A10" s="2" t="inlineStr">
        <is>
          <t>Mapa de hojas</t>
        </is>
      </c>
    </row>
    <row r="11">
      <c r="A11" s="3" t="inlineStr">
        <is>
          <t>Parametros — supuestos del caso motos, costos, TMC, escala (PDO/ancla), apetito y parámetros del modelo simple del curso.</t>
        </is>
      </c>
    </row>
    <row r="12">
      <c r="A12" s="3" t="inlineStr">
        <is>
          <t>Bandas — 8 bandas A1…E (master scale del curso: 20 puntos por banda); PD12, mezcla, monto; PD de vida, EL, E[VPN], tasa requerida y chequeo TMC.</t>
        </is>
      </c>
    </row>
    <row r="13">
      <c r="A13" s="3" t="inlineStr">
        <is>
          <t>Estrategia — tabla de estrategia por cutoff (fronteras de banda); cutoff de máxima utilidad y cutoff por apetito.</t>
        </is>
      </c>
    </row>
    <row r="14">
      <c r="A14" s="3" t="inlineStr">
        <is>
          <t>LGD_motos — cronograma francés (a la tasa base y a la TMC), EAD, valor de la moto, LGD y VPN por mes de default, forma de la curva de default.</t>
        </is>
      </c>
    </row>
    <row r="15">
      <c r="A15" s="3" t="inlineStr">
        <is>
          <t>Default_bandas — P(default en el mes d) por banda, PD de vida exacta, EL y E[VPN | malo] por banda.</t>
        </is>
      </c>
    </row>
    <row r="16">
      <c r="A16" s="3" t="inlineStr">
        <is>
          <t>Breakeven — (A) modelo del curso de un período; (B) motos, vida del crédito; (C) sensibilidad viva del modelo (A).</t>
        </is>
      </c>
    </row>
    <row r="17">
      <c r="A17" s="2" t="inlineStr">
        <is>
          <t>Supuestos y convenciones (declarados)</t>
        </is>
      </c>
    </row>
    <row r="18">
      <c r="A18" s="3" t="inlineStr">
        <is>
          <t>• Default = 90+ días de mora. Si se alcanza en el mes d, la última cuota pagada es la d−4 y EAD(d) = capital insoluto B(d−4) (no incluye intereses devengados; incluirlos sube la EAD y baja la LGD en %, sin cambiar la pérdida en pesos).</t>
        </is>
      </c>
    </row>
    <row r="19">
      <c r="A19" s="3" t="inlineStr">
        <is>
          <t>• Valor de la moto: V(t) = precio·(1−castigo inicial)·(1−depreciación)^(t/12). Venta en d + T meses, neta de costo de recupero, con tope en la acreencia EAD·(1+r)^(3+T); el excedente se devuelve al deudor.</t>
        </is>
      </c>
    </row>
    <row r="20">
      <c r="A20" s="3" t="inlineStr">
        <is>
          <t>• LGD(d) = π·max(0, 1 − recupero descontado/EAD) + (1 − π), con π = probabilidad de recuperar la moto. Descuento al costo de fondos.</t>
        </is>
      </c>
    </row>
    <row r="21">
      <c r="A21" s="3" t="inlineStr">
        <is>
          <t>• PD de vida por riesgos proporcionales: la forma s(d) = x·e^(1−x), x = (d−3)/(mes pico − 3), es común a las bandas; PD_vida = 1 − (1 − PD12)^κ con κ = Σs(d≤N+3)/Σs(d≤12). Los tiempos de default son propios de cada banda (exactos).</t>
        </is>
      </c>
    </row>
    <row r="22">
      <c r="A22" s="3" t="inlineStr">
        <is>
          <t>• Utilidad = VPN esperado al costo de fondos, incluidos costo operativo (% anual del saldo) y costo de adquisición. Margen := Utilidad + EL (margen antes de pérdidas de crédito, en VP). EL en VP a la fecha de otorgamiento.</t>
        </is>
      </c>
    </row>
    <row r="23">
      <c r="A23" s="3" t="inlineStr">
        <is>
          <t>• Sin prepago, sin seguros ni comisiones adicionales, sin impuestos. Montos por banda escalan linealmente con el pie fijo (salvo el costo de adquisición, que es fijo por crédito).</t>
        </is>
      </c>
    </row>
    <row r="24">
      <c r="A24" s="3" t="inlineStr">
        <is>
          <t>• Tasa requerida por banda: interpolación lineal (secante) entre la tasa base y la TMC. Es exacta en esos dos puntos; el notebook M17 la compara con la raíz exacta (error ≤ 2,2 pb mensuales en el caso base; crece lejos del intervalo).</t>
        </is>
      </c>
    </row>
    <row r="25">
      <c r="A25" s="3" t="inlineStr">
        <is>
          <t>• Breakeven de motos (hoja Breakeven, bloque B): fórmula cerrada con tiempos comunes (límite PD → 0). El valor exacto (notebook) es algo más estricto porque en bandas riesgosas los malos caen antes y cuestan más.</t>
        </is>
      </c>
    </row>
    <row r="26">
      <c r="A26" s="2" t="inlineStr">
        <is>
          <t>TMC (Chile) — cómo se fija</t>
        </is>
      </c>
    </row>
    <row r="27">
      <c r="A27" s="3" t="inlineStr">
        <is>
          <t>Ley 18.010: el interés máximo convencional es, en general, el mayor entre 1,5 veces el interés corriente y el corriente más 2 pp. Para operaciones no reajustables en moneda nacional ≥ 90 días y hasta 200 UF (art. 6 bis, Ley 20.715): interés corriente del tramo &gt; 200 y ≤ 5.000 UF más 14 pp (&gt; 50 y ≤ 200 UF) o más 21 pp (≤ 50 UF). La CMF certifica las tasas mensualmente. Valor por defecto: 34,50% anual (tramo &gt; 50 y ≤ 200 UF, certificado CMF vigente desde el 14-08-2026, expresado en forma lineal anual, base 360 días). ACTUALICE con el certificado vigente: cambia cada mes.</t>
        </is>
      </c>
    </row>
    <row r="28">
      <c r="A28" s="3" t="inlineStr">
        <is>
          <t>Pactar sobre la TMC tiene sanción: la ley tiene por no escrito el pacto de intereses y los reduce al interés corriente. Qué cuenta como interés (comisiones, gastos) debe revisarse con asesoría legal.</t>
        </is>
      </c>
    </row>
    <row r="29">
      <c r="A29" s="2" t="inlineStr">
        <is>
          <t>Colores</t>
        </is>
      </c>
    </row>
    <row r="30">
      <c r="A30" s="3" t="inlineStr">
        <is>
          <t>Amarillo = parámetro editable · Gris = derivado · Verde = resultado clave · Azul = encabezado.</t>
        </is>
      </c>
    </row>
    <row r="31">
      <c r="A31" s="2" t="inlineStr">
        <is>
          <t>Compatibilidad</t>
        </is>
      </c>
    </row>
    <row r="32">
      <c r="A32" s="3" t="inlineStr">
        <is>
          <t>Solo fórmulas estándar (LN, EXP, SUM, SUMIF, SUMPRODUCT, INDEX, MATCH, MAX, MIN, IF, AND): se importa limpia a Google Sheets y Excel. Sin macros, sin tablas dinámicas, sin nombres definidos.</t>
        </is>
      </c>
    </row>
    <row r="33">
      <c r="A33" s="5" t="inlineStr">
        <is>
          <t>Acompaña a: M17_estrategia_cutoff.md (derivaciones) y M17_estrategia_cutoff.py (notebook Marimo con verdad conocida).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70" customWidth="1" min="4" max="4"/>
  </cols>
  <sheetData>
    <row r="1">
      <c r="A1" s="6" t="inlineStr">
        <is>
          <t>Parámetros del caso motos y de la estrategia</t>
        </is>
      </c>
    </row>
    <row r="3">
      <c r="A3" s="7" t="inlineStr">
        <is>
          <t>Parámetro</t>
        </is>
      </c>
      <c r="B3" s="7" t="inlineStr">
        <is>
          <t>Valor</t>
        </is>
      </c>
      <c r="C3" s="7" t="inlineStr">
        <is>
          <t>Unidad</t>
        </is>
      </c>
      <c r="D3" s="7" t="inlineStr">
        <is>
          <t>Rango plausible / nota</t>
        </is>
      </c>
    </row>
    <row r="4">
      <c r="A4" s="8" t="inlineStr">
        <is>
          <t>Crédito y moto</t>
        </is>
      </c>
    </row>
    <row r="5">
      <c r="A5" s="9" t="inlineStr">
        <is>
          <t>Precio de la moto</t>
        </is>
      </c>
      <c r="B5" s="10" t="n">
        <v>4000000</v>
      </c>
      <c r="C5" s="9" t="inlineStr">
        <is>
          <t>CLP</t>
        </is>
      </c>
      <c r="D5" s="11" t="inlineStr">
        <is>
          <t>3–6 MM$ (ilustrativo)</t>
        </is>
      </c>
    </row>
    <row r="6">
      <c r="A6" s="9" t="inlineStr">
        <is>
          <t>Pie</t>
        </is>
      </c>
      <c r="B6" s="12" t="n">
        <v>0.2</v>
      </c>
      <c r="C6" s="9" t="inlineStr">
        <is>
          <t>% precio</t>
        </is>
      </c>
      <c r="D6" s="11" t="inlineStr">
        <is>
          <t>10–30%</t>
        </is>
      </c>
    </row>
    <row r="7">
      <c r="A7" s="9" t="inlineStr">
        <is>
          <t>Monto financiado</t>
        </is>
      </c>
      <c r="B7" s="13">
        <f>B5*(1-B6)</f>
        <v/>
      </c>
      <c r="C7" s="9" t="inlineStr">
        <is>
          <t>CLP</t>
        </is>
      </c>
      <c r="D7" s="11" t="inlineStr">
        <is>
          <t>precio·(1 − pie)</t>
        </is>
      </c>
    </row>
    <row r="8">
      <c r="A8" s="9" t="inlineStr">
        <is>
          <t>Tasa de interés mensual (base)</t>
        </is>
      </c>
      <c r="B8" s="14" t="n">
        <v>0.022</v>
      </c>
      <c r="C8" s="9" t="inlineStr">
        <is>
          <t>% mensual</t>
        </is>
      </c>
      <c r="D8" s="11" t="inlineStr">
        <is>
          <t>1,9–2,6% (ilustrativo); debe quedar bajo la TMC mensual</t>
        </is>
      </c>
    </row>
    <row r="9">
      <c r="A9" s="9" t="inlineStr">
        <is>
          <t>Tasa lineal anual equivalente</t>
        </is>
      </c>
      <c r="B9" s="15">
        <f>B8*12</f>
        <v/>
      </c>
      <c r="C9" s="9" t="inlineStr">
        <is>
          <t>% anual</t>
        </is>
      </c>
      <c r="D9" s="11" t="inlineStr">
        <is>
          <t>forma en que la CMF expresa la TMC (lineal, base 360)</t>
        </is>
      </c>
    </row>
    <row r="10">
      <c r="A10" s="9" t="inlineStr">
        <is>
          <t>Plazo</t>
        </is>
      </c>
      <c r="B10" s="16" t="n">
        <v>36</v>
      </c>
      <c r="C10" s="9" t="inlineStr">
        <is>
          <t>meses</t>
        </is>
      </c>
      <c r="D10" s="11" t="inlineStr">
        <is>
          <t>24–48; MÁXIMO 60 (tamaño del cronograma)</t>
        </is>
      </c>
    </row>
    <row r="11">
      <c r="A11" s="9" t="inlineStr">
        <is>
          <t>Depreciación anual de la moto</t>
        </is>
      </c>
      <c r="B11" s="12" t="n">
        <v>0.2</v>
      </c>
      <c r="C11" s="9" t="inlineStr">
        <is>
          <t>% anual</t>
        </is>
      </c>
      <c r="D11" s="11" t="inlineStr">
        <is>
          <t>15–25% (geométrica). Referencia fiscal española: ≈84% del valor a 1 año, 67% a 2 (verificar)</t>
        </is>
      </c>
    </row>
    <row r="12">
      <c r="A12" s="9" t="inlineStr">
        <is>
          <t>Castigo inicial (salida de tienda / precio de liquidación)</t>
        </is>
      </c>
      <c r="B12" s="12" t="n">
        <v>0.1</v>
      </c>
      <c r="C12" s="9" t="inlineStr">
        <is>
          <t>% precio</t>
        </is>
      </c>
      <c r="D12" s="11" t="inlineStr">
        <is>
          <t>0–20%</t>
        </is>
      </c>
    </row>
    <row r="13">
      <c r="A13" s="9" t="inlineStr">
        <is>
          <t>Costo de recupero y remate</t>
        </is>
      </c>
      <c r="B13" s="12" t="n">
        <v>0.15</v>
      </c>
      <c r="C13" s="9" t="inlineStr">
        <is>
          <t>% valor de venta</t>
        </is>
      </c>
      <c r="D13" s="11" t="inlineStr">
        <is>
          <t>10–20% (retiro, bodegaje, martillero, legal)</t>
        </is>
      </c>
    </row>
    <row r="14">
      <c r="A14" s="9" t="inlineStr">
        <is>
          <t>Meses desde el default hasta la venta</t>
        </is>
      </c>
      <c r="B14" s="16" t="n">
        <v>6</v>
      </c>
      <c r="C14" s="9" t="inlineStr">
        <is>
          <t>meses</t>
        </is>
      </c>
      <c r="D14" s="11" t="inlineStr">
        <is>
          <t>4–8</t>
        </is>
      </c>
    </row>
    <row r="15">
      <c r="A15" s="9" t="inlineStr">
        <is>
          <t>Probabilidad de recuperar físicamente la moto (π)</t>
        </is>
      </c>
      <c r="B15" s="12" t="n">
        <v>0.6</v>
      </c>
      <c r="C15" s="9" t="inlineStr">
        <is>
          <t>%</t>
        </is>
      </c>
      <c r="D15" s="11" t="inlineStr">
        <is>
          <t>40–85%: el supuesto MÁS incierto; estímelo con sus casos de cobranza</t>
        </is>
      </c>
    </row>
    <row r="16">
      <c r="A16" s="9" t="inlineStr">
        <is>
          <t>Mes de máxima intensidad de default</t>
        </is>
      </c>
      <c r="B16" s="16" t="n">
        <v>7</v>
      </c>
      <c r="C16" s="9" t="inlineStr">
        <is>
          <t>mes</t>
        </is>
      </c>
      <c r="D16" s="11" t="inlineStr">
        <is>
          <t>5–10; debe ser &gt; 3. Define la forma de la curva de default</t>
        </is>
      </c>
    </row>
    <row r="18">
      <c r="A18" s="8" t="inlineStr">
        <is>
          <t>Costos y rentabilidad</t>
        </is>
      </c>
    </row>
    <row r="19">
      <c r="A19" s="9" t="inlineStr">
        <is>
          <t>Costo de fondos (anual efectivo)</t>
        </is>
      </c>
      <c r="B19" s="12" t="n">
        <v>0.1</v>
      </c>
      <c r="C19" s="9" t="inlineStr">
        <is>
          <t>% anual</t>
        </is>
      </c>
      <c r="D19" s="11" t="inlineStr">
        <is>
          <t>7–14% (ilustrativo para una fintech)</t>
        </is>
      </c>
    </row>
    <row r="20">
      <c r="A20" s="9" t="inlineStr">
        <is>
          <t>Tasa de descuento mensual</t>
        </is>
      </c>
      <c r="B20" s="17">
        <f>(1+B19)^(1/12)-1</f>
        <v/>
      </c>
      <c r="C20" s="9" t="inlineStr">
        <is>
          <t>% mensual</t>
        </is>
      </c>
      <c r="D20" s="11" t="inlineStr">
        <is>
          <t>(1 + c_f)^(1/12) − 1</t>
        </is>
      </c>
    </row>
    <row r="21">
      <c r="A21" s="9" t="inlineStr">
        <is>
          <t>Costo operativo</t>
        </is>
      </c>
      <c r="B21" s="12" t="n">
        <v>0.04</v>
      </c>
      <c r="C21" s="9" t="inlineStr">
        <is>
          <t>% anual del saldo</t>
        </is>
      </c>
      <c r="D21" s="11" t="inlineStr">
        <is>
          <t>3–6% (servicing, cobranza temprana)</t>
        </is>
      </c>
    </row>
    <row r="22">
      <c r="A22" s="9" t="inlineStr">
        <is>
          <t>Costo de adquisición por crédito</t>
        </is>
      </c>
      <c r="B22" s="10" t="n">
        <v>200000</v>
      </c>
      <c r="C22" s="9" t="inlineStr">
        <is>
          <t>CLP</t>
        </is>
      </c>
      <c r="D22" s="11" t="inlineStr">
        <is>
          <t>100–300 mil (comisión dealer, originación, evaluación)</t>
        </is>
      </c>
    </row>
    <row r="23">
      <c r="A23" s="9" t="inlineStr">
        <is>
          <t>Margen objetivo para pricing</t>
        </is>
      </c>
      <c r="B23" s="12" t="n">
        <v>0.05</v>
      </c>
      <c r="C23" s="9" t="inlineStr">
        <is>
          <t>% monto en VP</t>
        </is>
      </c>
      <c r="D23" s="11" t="inlineStr">
        <is>
          <t>E[VPN] exigido por crédito = margen · monto</t>
        </is>
      </c>
    </row>
    <row r="25">
      <c r="A25" s="8" t="inlineStr">
        <is>
          <t>Tasa máxima convencional (TMC)</t>
        </is>
      </c>
    </row>
    <row r="26">
      <c r="A26" s="9" t="inlineStr">
        <is>
          <t>TMC anual del tramo del crédito</t>
        </is>
      </c>
      <c r="B26" s="14" t="n">
        <v>0.345</v>
      </c>
      <c r="C26" s="9" t="inlineStr">
        <is>
          <t>% lineal anual</t>
        </is>
      </c>
      <c r="D26" s="11" t="inlineStr">
        <is>
          <t>34,50%: tramo &gt; 50 y ≤ 200 UF, certificado CMF vigente desde 14-08-2026. ACTUALIZAR mensualmente</t>
        </is>
      </c>
    </row>
    <row r="27">
      <c r="A27" s="9" t="inlineStr">
        <is>
          <t>TMC mensual</t>
        </is>
      </c>
      <c r="B27" s="17">
        <f>B26/12</f>
        <v/>
      </c>
      <c r="C27" s="9" t="inlineStr">
        <is>
          <t>% mensual</t>
        </is>
      </c>
      <c r="D27" s="11" t="inlineStr">
        <is>
          <t>lineal anual / 12</t>
        </is>
      </c>
    </row>
    <row r="28">
      <c r="A28" s="9" t="inlineStr">
        <is>
          <t>Valor de la UF</t>
        </is>
      </c>
      <c r="B28" s="10" t="n">
        <v>41000</v>
      </c>
      <c r="C28" s="9" t="inlineStr">
        <is>
          <t>CLP</t>
        </is>
      </c>
      <c r="D28" s="11" t="inlineStr">
        <is>
          <t>≈ 41.000 a fines de septiembre de 2026; actualizar</t>
        </is>
      </c>
    </row>
    <row r="29">
      <c r="A29" s="9" t="inlineStr">
        <is>
          <t>Monto financiado en UF</t>
        </is>
      </c>
      <c r="B29" s="18">
        <f>B7/B28</f>
        <v/>
      </c>
      <c r="C29" s="9" t="inlineStr">
        <is>
          <t>UF</t>
        </is>
      </c>
      <c r="D29" s="11" t="inlineStr">
        <is>
          <t>define el tramo de TMC</t>
        </is>
      </c>
    </row>
    <row r="30">
      <c r="A30" s="9" t="inlineStr">
        <is>
          <t>Tramo de TMC que corresponde</t>
        </is>
      </c>
      <c r="B30" s="19">
        <f>IF(B29&lt;=50,"≤ 50 UF",IF(B29&lt;=200,"&gt; 50 y ≤ 200 UF","&gt; 200 UF"))</f>
        <v/>
      </c>
      <c r="C30" s="9" t="inlineStr"/>
      <c r="D30" s="11" t="inlineStr">
        <is>
          <t>si no es «&gt; 50 y ≤ 200 UF», cambie la TMC de B26 (≤ 50 UF: 41,50%; &gt; 200 y ≤ 5.000 UF: 30,75%, mismo certificado)</t>
        </is>
      </c>
    </row>
    <row r="31">
      <c r="A31" s="9" t="inlineStr">
        <is>
          <t>¿La tasa base cumple la TMC?</t>
        </is>
      </c>
      <c r="B31" s="19">
        <f>IF(B8&lt;=B27,"sí","NO: tasa sobre el máximo legal")</f>
        <v/>
      </c>
    </row>
    <row r="33">
      <c r="A33" s="8" t="inlineStr">
        <is>
          <t>Escala del score (curso: PDO 20, 600 @ 50:1)</t>
        </is>
      </c>
    </row>
    <row r="34">
      <c r="A34" s="9" t="inlineStr">
        <is>
          <t>PDO (puntos para duplicar las odds)</t>
        </is>
      </c>
      <c r="B34" s="16" t="n">
        <v>20</v>
      </c>
      <c r="C34" s="9" t="inlineStr">
        <is>
          <t>puntos</t>
        </is>
      </c>
      <c r="D34" s="11" t="inlineStr">
        <is>
          <t>convención del curso</t>
        </is>
      </c>
    </row>
    <row r="35">
      <c r="A35" s="9" t="inlineStr">
        <is>
          <t>Score ancla</t>
        </is>
      </c>
      <c r="B35" s="16" t="n">
        <v>600</v>
      </c>
      <c r="C35" s="9" t="inlineStr">
        <is>
          <t>puntos</t>
        </is>
      </c>
      <c r="D35" s="11" t="inlineStr"/>
    </row>
    <row r="36">
      <c r="A36" s="9" t="inlineStr">
        <is>
          <t>Odds en el ancla (buenos:malos)</t>
        </is>
      </c>
      <c r="B36" s="16" t="n">
        <v>50</v>
      </c>
      <c r="C36" s="9" t="inlineStr">
        <is>
          <t>odds</t>
        </is>
      </c>
      <c r="D36" s="11" t="inlineStr">
        <is>
          <t>600 = 50:1 = PD 1,96%</t>
        </is>
      </c>
    </row>
    <row r="37">
      <c r="A37" s="9" t="inlineStr">
        <is>
          <t>Factor</t>
        </is>
      </c>
      <c r="B37" s="20">
        <f>B34/LN(2)</f>
        <v/>
      </c>
      <c r="C37" s="9" t="inlineStr"/>
      <c r="D37" s="11" t="inlineStr">
        <is>
          <t>PDO/ln 2 = 28,8539</t>
        </is>
      </c>
    </row>
    <row r="38">
      <c r="A38" s="9" t="inlineStr">
        <is>
          <t>Offset</t>
        </is>
      </c>
      <c r="B38" s="20">
        <f>B35-B37*LN(B36)</f>
        <v/>
      </c>
      <c r="C38" s="9" t="inlineStr"/>
      <c r="D38" s="11" t="inlineStr">
        <is>
          <t>ancla − factor·ln(odds) = 487,1229</t>
        </is>
      </c>
    </row>
    <row r="40">
      <c r="A40" s="8" t="inlineStr">
        <is>
          <t>Estrategia y apetito</t>
        </is>
      </c>
    </row>
    <row r="41">
      <c r="A41" s="9" t="inlineStr">
        <is>
          <t>Solicitudes por mes</t>
        </is>
      </c>
      <c r="B41" s="10" t="n">
        <v>1000</v>
      </c>
      <c r="C41" s="9" t="inlineStr">
        <is>
          <t>solicitudes</t>
        </is>
      </c>
      <c r="D41" s="11" t="inlineStr">
        <is>
          <t>volumen ilustrativo</t>
        </is>
      </c>
    </row>
    <row r="42">
      <c r="A42" s="9" t="inlineStr">
        <is>
          <t>Apetito: PD12 media máxima de la cartera aprobada</t>
        </is>
      </c>
      <c r="B42" s="12" t="n">
        <v>0.045</v>
      </c>
      <c r="C42" s="9" t="inlineStr">
        <is>
          <t>%</t>
        </is>
      </c>
      <c r="D42" s="11" t="inlineStr">
        <is>
          <t>lo fija el directorio; el curso usó 2,5% de mora para Austral</t>
        </is>
      </c>
    </row>
    <row r="43">
      <c r="A43" s="9" t="inlineStr">
        <is>
          <t>Aprobación mínima exigida por comercial</t>
        </is>
      </c>
      <c r="B43" s="12" t="n">
        <v>0.45</v>
      </c>
      <c r="C43" s="9" t="inlineStr">
        <is>
          <t>% solicitudes</t>
        </is>
      </c>
      <c r="D43" s="11" t="inlineStr">
        <is>
          <t>ilustrativo; con 60% ningún cutoff cumple ambas condiciones (pruébelo)</t>
        </is>
      </c>
    </row>
    <row r="45">
      <c r="A45" s="8" t="inlineStr">
        <is>
          <t>Modelo simple del curso (un período, EAD = monto, LGD fija) — hoja Breakeven, bloque A</t>
        </is>
      </c>
    </row>
    <row r="46">
      <c r="A46" s="9" t="inlineStr">
        <is>
          <t>LGD fija</t>
        </is>
      </c>
      <c r="B46" s="12" t="n">
        <v>0.45</v>
      </c>
      <c r="C46" s="9" t="inlineStr">
        <is>
          <t>%</t>
        </is>
      </c>
      <c r="D46" s="11" t="inlineStr">
        <is>
          <t>curso: 45% (consumo sin garantía, convención)</t>
        </is>
      </c>
    </row>
    <row r="47">
      <c r="A47" s="9" t="inlineStr">
        <is>
          <t>Tasa anual</t>
        </is>
      </c>
      <c r="B47" s="12" t="n">
        <v>0.24</v>
      </c>
      <c r="C47" s="9" t="inlineStr">
        <is>
          <t>% anual</t>
        </is>
      </c>
      <c r="D47" s="11" t="inlineStr"/>
    </row>
    <row r="48">
      <c r="A48" s="9" t="inlineStr">
        <is>
          <t>Costo de fondos anual</t>
        </is>
      </c>
      <c r="B48" s="12" t="n">
        <v>0.06</v>
      </c>
      <c r="C48" s="9" t="inlineStr">
        <is>
          <t>% anual</t>
        </is>
      </c>
      <c r="D48" s="11" t="inlineStr"/>
    </row>
    <row r="49">
      <c r="A49" s="9" t="inlineStr">
        <is>
          <t>Costos operativos + adquisición</t>
        </is>
      </c>
      <c r="B49" s="12" t="n">
        <v>0.06</v>
      </c>
      <c r="C49" s="9" t="inlineStr">
        <is>
          <t>% monto</t>
        </is>
      </c>
      <c r="D4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9" customWidth="1" min="4" max="4"/>
    <col width="11" customWidth="1" min="5" max="5"/>
    <col width="12" customWidth="1" min="6" max="6"/>
    <col width="11" customWidth="1" min="7" max="7"/>
    <col width="14" customWidth="1" min="8" max="8"/>
    <col width="9" customWidth="1" min="9" max="9"/>
    <col width="10" customWidth="1" min="10" max="10"/>
    <col width="13" customWidth="1" min="11" max="11"/>
    <col width="10" customWidth="1" min="12" max="12"/>
    <col width="15" customWidth="1" min="13" max="13"/>
    <col width="15" customWidth="1" min="14" max="14"/>
    <col width="12" customWidth="1" min="15" max="15"/>
    <col width="10" customWidth="1" min="16" max="16"/>
    <col width="11" customWidth="1" min="17" max="17"/>
    <col width="14" customWidth="1" min="18" max="18"/>
  </cols>
  <sheetData>
    <row r="1">
      <c r="A1" s="6" t="inlineStr">
        <is>
          <t>Bandas de la master scale (curso: 20 puntos por banda) — economía por banda</t>
        </is>
      </c>
    </row>
    <row r="2">
      <c r="A2" s="21" t="inlineStr">
        <is>
          <t>PD12 por defecto = PD calibrada media de Banco Austral por banda (clase 5); mezcla de solicitudes ilustrativa de motos (desplazada a bandas bajas). Edite las columnas amarillas.</t>
        </is>
      </c>
    </row>
    <row r="4" ht="45" customHeight="1">
      <c r="A4" s="7" t="inlineStr">
        <is>
          <t>idx</t>
        </is>
      </c>
      <c r="B4" s="7" t="inlineStr">
        <is>
          <t>banda</t>
        </is>
      </c>
      <c r="C4" s="7" t="inlineStr">
        <is>
          <t>score mín</t>
        </is>
      </c>
      <c r="D4" s="7" t="inlineStr">
        <is>
          <t>score máx</t>
        </is>
      </c>
      <c r="E4" s="7" t="inlineStr">
        <is>
          <t>PD12 calibrada</t>
        </is>
      </c>
      <c r="F4" s="7" t="inlineStr">
        <is>
          <t>PD en punto medio (escala)</t>
        </is>
      </c>
      <c r="G4" s="7" t="inlineStr">
        <is>
          <t>% solicitudes</t>
        </is>
      </c>
      <c r="H4" s="7" t="inlineStr">
        <is>
          <t>monto medio financiado</t>
        </is>
      </c>
      <c r="I4" s="7" t="inlineStr">
        <is>
          <t>monto / M0</t>
        </is>
      </c>
      <c r="J4" s="7" t="inlineStr">
        <is>
          <t>PD de vida</t>
        </is>
      </c>
      <c r="K4" s="7" t="inlineStr">
        <is>
          <t>EL por crédito (VP)</t>
        </is>
      </c>
      <c r="L4" s="7" t="inlineStr">
        <is>
          <t>EL / monto</t>
        </is>
      </c>
      <c r="M4" s="7" t="inlineStr">
        <is>
          <t>E[VPN] por crédito (tasa base)</t>
        </is>
      </c>
      <c r="N4" s="7" t="inlineStr">
        <is>
          <t>E[VPN] por crédito (a TMC)</t>
        </is>
      </c>
      <c r="O4" s="7" t="inlineStr">
        <is>
          <t>tasa mensual requerida</t>
        </is>
      </c>
      <c r="P4" s="7" t="inlineStr">
        <is>
          <t>¿cabe bajo TMC?</t>
        </is>
      </c>
      <c r="Q4" s="7" t="inlineStr">
        <is>
          <t>decisión breakeven</t>
        </is>
      </c>
      <c r="R4" s="7" t="inlineStr">
        <is>
          <t>utilidad esperada del mes (MM$)</t>
        </is>
      </c>
    </row>
    <row r="5">
      <c r="A5" s="22" t="n">
        <v>1</v>
      </c>
      <c r="B5" s="23" t="inlineStr">
        <is>
          <t>A1</t>
        </is>
      </c>
      <c r="C5" s="24">
        <f>Parametros!$B$35+Parametros!$B$34*(3)</f>
        <v/>
      </c>
      <c r="D5" s="9" t="inlineStr">
        <is>
          <t>abierta</t>
        </is>
      </c>
      <c r="E5" s="14" t="n">
        <v>0.0011</v>
      </c>
      <c r="F5" s="9" t="inlineStr">
        <is>
          <t>banda abierta</t>
        </is>
      </c>
      <c r="G5" s="12" t="n">
        <v>0.02</v>
      </c>
      <c r="H5" s="10">
        <f>Parametros!$B$7</f>
        <v/>
      </c>
      <c r="I5" s="25">
        <f>H5/Parametros!$B$7</f>
        <v/>
      </c>
      <c r="J5" s="15">
        <f>Default_bandas!D6</f>
        <v/>
      </c>
      <c r="K5" s="13">
        <f>I5*Default_bandas!D9</f>
        <v/>
      </c>
      <c r="L5" s="15">
        <f>K5/H5</f>
        <v/>
      </c>
      <c r="M5" s="26">
        <f>I5*((1-J5)*LGD_motos!$B$6+Default_bandas!D7+Parametros!$B$22)-Parametros!$B$22</f>
        <v/>
      </c>
      <c r="N5" s="13">
        <f>I5*((1-J5)*LGD_motos!$B$7+Default_bandas!D8+Parametros!$B$22)-Parametros!$B$22</f>
        <v/>
      </c>
      <c r="O5" s="17">
        <f>Parametros!$B$8+(Parametros!$B$23*H5-M5)*(Parametros!$B$27-Parametros!$B$8)/(N5-M5)</f>
        <v/>
      </c>
      <c r="P5" s="19">
        <f>IF(O5&lt;=Parametros!$B$27,"sí","no")</f>
        <v/>
      </c>
      <c r="Q5" s="19">
        <f>IF(M5&gt;0,"aprobar","rechazar")</f>
        <v/>
      </c>
      <c r="R5" s="27">
        <f>Parametros!$B$41*G5*M5/1000000</f>
        <v/>
      </c>
    </row>
    <row r="6">
      <c r="A6" s="22" t="n">
        <v>2</v>
      </c>
      <c r="B6" s="23" t="inlineStr">
        <is>
          <t>A2</t>
        </is>
      </c>
      <c r="C6" s="24">
        <f>Parametros!$B$35+Parametros!$B$34*(2)</f>
        <v/>
      </c>
      <c r="D6" s="24">
        <f>Parametros!$B$35+Parametros!$B$34*(3)</f>
        <v/>
      </c>
      <c r="E6" s="14" t="n">
        <v>0.0036</v>
      </c>
      <c r="F6" s="15">
        <f>1/(1+EXP(((C6+D6)/2-Parametros!$B$38)/Parametros!$B$37))</f>
        <v/>
      </c>
      <c r="G6" s="12" t="n">
        <v>0.03</v>
      </c>
      <c r="H6" s="10">
        <f>Parametros!$B$7</f>
        <v/>
      </c>
      <c r="I6" s="25">
        <f>H6/Parametros!$B$7</f>
        <v/>
      </c>
      <c r="J6" s="15">
        <f>Default_bandas!E6</f>
        <v/>
      </c>
      <c r="K6" s="13">
        <f>I6*Default_bandas!E9</f>
        <v/>
      </c>
      <c r="L6" s="15">
        <f>K6/H6</f>
        <v/>
      </c>
      <c r="M6" s="26">
        <f>I6*((1-J6)*LGD_motos!$B$6+Default_bandas!E7+Parametros!$B$22)-Parametros!$B$22</f>
        <v/>
      </c>
      <c r="N6" s="13">
        <f>I6*((1-J6)*LGD_motos!$B$7+Default_bandas!E8+Parametros!$B$22)-Parametros!$B$22</f>
        <v/>
      </c>
      <c r="O6" s="17">
        <f>Parametros!$B$8+(Parametros!$B$23*H6-M6)*(Parametros!$B$27-Parametros!$B$8)/(N6-M6)</f>
        <v/>
      </c>
      <c r="P6" s="19">
        <f>IF(O6&lt;=Parametros!$B$27,"sí","no")</f>
        <v/>
      </c>
      <c r="Q6" s="19">
        <f>IF(M6&gt;0,"aprobar","rechazar")</f>
        <v/>
      </c>
      <c r="R6" s="27">
        <f>Parametros!$B$41*G6*M6/1000000</f>
        <v/>
      </c>
    </row>
    <row r="7">
      <c r="A7" s="22" t="n">
        <v>3</v>
      </c>
      <c r="B7" s="23" t="inlineStr">
        <is>
          <t>B1</t>
        </is>
      </c>
      <c r="C7" s="24">
        <f>Parametros!$B$35+Parametros!$B$34*(1)</f>
        <v/>
      </c>
      <c r="D7" s="24">
        <f>Parametros!$B$35+Parametros!$B$34*(2)</f>
        <v/>
      </c>
      <c r="E7" s="14" t="n">
        <v>0.0072</v>
      </c>
      <c r="F7" s="15">
        <f>1/(1+EXP(((C7+D7)/2-Parametros!$B$38)/Parametros!$B$37))</f>
        <v/>
      </c>
      <c r="G7" s="12" t="n">
        <v>0.05</v>
      </c>
      <c r="H7" s="10">
        <f>Parametros!$B$7</f>
        <v/>
      </c>
      <c r="I7" s="25">
        <f>H7/Parametros!$B$7</f>
        <v/>
      </c>
      <c r="J7" s="15">
        <f>Default_bandas!F6</f>
        <v/>
      </c>
      <c r="K7" s="13">
        <f>I7*Default_bandas!F9</f>
        <v/>
      </c>
      <c r="L7" s="15">
        <f>K7/H7</f>
        <v/>
      </c>
      <c r="M7" s="26">
        <f>I7*((1-J7)*LGD_motos!$B$6+Default_bandas!F7+Parametros!$B$22)-Parametros!$B$22</f>
        <v/>
      </c>
      <c r="N7" s="13">
        <f>I7*((1-J7)*LGD_motos!$B$7+Default_bandas!F8+Parametros!$B$22)-Parametros!$B$22</f>
        <v/>
      </c>
      <c r="O7" s="17">
        <f>Parametros!$B$8+(Parametros!$B$23*H7-M7)*(Parametros!$B$27-Parametros!$B$8)/(N7-M7)</f>
        <v/>
      </c>
      <c r="P7" s="19">
        <f>IF(O7&lt;=Parametros!$B$27,"sí","no")</f>
        <v/>
      </c>
      <c r="Q7" s="19">
        <f>IF(M7&gt;0,"aprobar","rechazar")</f>
        <v/>
      </c>
      <c r="R7" s="27">
        <f>Parametros!$B$41*G7*M7/1000000</f>
        <v/>
      </c>
    </row>
    <row r="8">
      <c r="A8" s="22" t="n">
        <v>4</v>
      </c>
      <c r="B8" s="23" t="inlineStr">
        <is>
          <t>B2</t>
        </is>
      </c>
      <c r="C8" s="24">
        <f>Parametros!$B$35+Parametros!$B$34*(0)</f>
        <v/>
      </c>
      <c r="D8" s="24">
        <f>Parametros!$B$35+Parametros!$B$34*(1)</f>
        <v/>
      </c>
      <c r="E8" s="14" t="n">
        <v>0.0141</v>
      </c>
      <c r="F8" s="15">
        <f>1/(1+EXP(((C8+D8)/2-Parametros!$B$38)/Parametros!$B$37))</f>
        <v/>
      </c>
      <c r="G8" s="12" t="n">
        <v>0.08</v>
      </c>
      <c r="H8" s="10">
        <f>Parametros!$B$7</f>
        <v/>
      </c>
      <c r="I8" s="25">
        <f>H8/Parametros!$B$7</f>
        <v/>
      </c>
      <c r="J8" s="15">
        <f>Default_bandas!G6</f>
        <v/>
      </c>
      <c r="K8" s="13">
        <f>I8*Default_bandas!G9</f>
        <v/>
      </c>
      <c r="L8" s="15">
        <f>K8/H8</f>
        <v/>
      </c>
      <c r="M8" s="26">
        <f>I8*((1-J8)*LGD_motos!$B$6+Default_bandas!G7+Parametros!$B$22)-Parametros!$B$22</f>
        <v/>
      </c>
      <c r="N8" s="13">
        <f>I8*((1-J8)*LGD_motos!$B$7+Default_bandas!G8+Parametros!$B$22)-Parametros!$B$22</f>
        <v/>
      </c>
      <c r="O8" s="17">
        <f>Parametros!$B$8+(Parametros!$B$23*H8-M8)*(Parametros!$B$27-Parametros!$B$8)/(N8-M8)</f>
        <v/>
      </c>
      <c r="P8" s="19">
        <f>IF(O8&lt;=Parametros!$B$27,"sí","no")</f>
        <v/>
      </c>
      <c r="Q8" s="19">
        <f>IF(M8&gt;0,"aprobar","rechazar")</f>
        <v/>
      </c>
      <c r="R8" s="27">
        <f>Parametros!$B$41*G8*M8/1000000</f>
        <v/>
      </c>
    </row>
    <row r="9">
      <c r="A9" s="22" t="n">
        <v>5</v>
      </c>
      <c r="B9" s="23" t="inlineStr">
        <is>
          <t>C1</t>
        </is>
      </c>
      <c r="C9" s="24">
        <f>Parametros!$B$35+Parametros!$B$34*(-1)</f>
        <v/>
      </c>
      <c r="D9" s="24">
        <f>Parametros!$B$35+Parametros!$B$34*(0)</f>
        <v/>
      </c>
      <c r="E9" s="14" t="n">
        <v>0.0279</v>
      </c>
      <c r="F9" s="15">
        <f>1/(1+EXP(((C9+D9)/2-Parametros!$B$38)/Parametros!$B$37))</f>
        <v/>
      </c>
      <c r="G9" s="12" t="n">
        <v>0.12</v>
      </c>
      <c r="H9" s="10">
        <f>Parametros!$B$7</f>
        <v/>
      </c>
      <c r="I9" s="25">
        <f>H9/Parametros!$B$7</f>
        <v/>
      </c>
      <c r="J9" s="15">
        <f>Default_bandas!H6</f>
        <v/>
      </c>
      <c r="K9" s="13">
        <f>I9*Default_bandas!H9</f>
        <v/>
      </c>
      <c r="L9" s="15">
        <f>K9/H9</f>
        <v/>
      </c>
      <c r="M9" s="26">
        <f>I9*((1-J9)*LGD_motos!$B$6+Default_bandas!H7+Parametros!$B$22)-Parametros!$B$22</f>
        <v/>
      </c>
      <c r="N9" s="13">
        <f>I9*((1-J9)*LGD_motos!$B$7+Default_bandas!H8+Parametros!$B$22)-Parametros!$B$22</f>
        <v/>
      </c>
      <c r="O9" s="17">
        <f>Parametros!$B$8+(Parametros!$B$23*H9-M9)*(Parametros!$B$27-Parametros!$B$8)/(N9-M9)</f>
        <v/>
      </c>
      <c r="P9" s="19">
        <f>IF(O9&lt;=Parametros!$B$27,"sí","no")</f>
        <v/>
      </c>
      <c r="Q9" s="19">
        <f>IF(M9&gt;0,"aprobar","rechazar")</f>
        <v/>
      </c>
      <c r="R9" s="27">
        <f>Parametros!$B$41*G9*M9/1000000</f>
        <v/>
      </c>
    </row>
    <row r="10">
      <c r="A10" s="22" t="n">
        <v>6</v>
      </c>
      <c r="B10" s="23" t="inlineStr">
        <is>
          <t>C2</t>
        </is>
      </c>
      <c r="C10" s="24">
        <f>Parametros!$B$35+Parametros!$B$34*(-2)</f>
        <v/>
      </c>
      <c r="D10" s="24">
        <f>Parametros!$B$35+Parametros!$B$34*(-1)</f>
        <v/>
      </c>
      <c r="E10" s="14" t="n">
        <v>0.0543</v>
      </c>
      <c r="F10" s="15">
        <f>1/(1+EXP(((C10+D10)/2-Parametros!$B$38)/Parametros!$B$37))</f>
        <v/>
      </c>
      <c r="G10" s="12" t="n">
        <v>0.17</v>
      </c>
      <c r="H10" s="10">
        <f>Parametros!$B$7</f>
        <v/>
      </c>
      <c r="I10" s="25">
        <f>H10/Parametros!$B$7</f>
        <v/>
      </c>
      <c r="J10" s="15">
        <f>Default_bandas!I6</f>
        <v/>
      </c>
      <c r="K10" s="13">
        <f>I10*Default_bandas!I9</f>
        <v/>
      </c>
      <c r="L10" s="15">
        <f>K10/H10</f>
        <v/>
      </c>
      <c r="M10" s="26">
        <f>I10*((1-J10)*LGD_motos!$B$6+Default_bandas!I7+Parametros!$B$22)-Parametros!$B$22</f>
        <v/>
      </c>
      <c r="N10" s="13">
        <f>I10*((1-J10)*LGD_motos!$B$7+Default_bandas!I8+Parametros!$B$22)-Parametros!$B$22</f>
        <v/>
      </c>
      <c r="O10" s="17">
        <f>Parametros!$B$8+(Parametros!$B$23*H10-M10)*(Parametros!$B$27-Parametros!$B$8)/(N10-M10)</f>
        <v/>
      </c>
      <c r="P10" s="19">
        <f>IF(O10&lt;=Parametros!$B$27,"sí","no")</f>
        <v/>
      </c>
      <c r="Q10" s="19">
        <f>IF(M10&gt;0,"aprobar","rechazar")</f>
        <v/>
      </c>
      <c r="R10" s="27">
        <f>Parametros!$B$41*G10*M10/1000000</f>
        <v/>
      </c>
    </row>
    <row r="11">
      <c r="A11" s="22" t="n">
        <v>7</v>
      </c>
      <c r="B11" s="23" t="inlineStr">
        <is>
          <t>D</t>
        </is>
      </c>
      <c r="C11" s="24">
        <f>Parametros!$B$35+Parametros!$B$34*(-3)</f>
        <v/>
      </c>
      <c r="D11" s="24">
        <f>Parametros!$B$35+Parametros!$B$34*(-2)</f>
        <v/>
      </c>
      <c r="E11" s="14" t="n">
        <v>0.1016</v>
      </c>
      <c r="F11" s="15">
        <f>1/(1+EXP(((C11+D11)/2-Parametros!$B$38)/Parametros!$B$37))</f>
        <v/>
      </c>
      <c r="G11" s="12" t="n">
        <v>0.2</v>
      </c>
      <c r="H11" s="10">
        <f>Parametros!$B$7</f>
        <v/>
      </c>
      <c r="I11" s="25">
        <f>H11/Parametros!$B$7</f>
        <v/>
      </c>
      <c r="J11" s="15">
        <f>Default_bandas!J6</f>
        <v/>
      </c>
      <c r="K11" s="13">
        <f>I11*Default_bandas!J9</f>
        <v/>
      </c>
      <c r="L11" s="15">
        <f>K11/H11</f>
        <v/>
      </c>
      <c r="M11" s="26">
        <f>I11*((1-J11)*LGD_motos!$B$6+Default_bandas!J7+Parametros!$B$22)-Parametros!$B$22</f>
        <v/>
      </c>
      <c r="N11" s="13">
        <f>I11*((1-J11)*LGD_motos!$B$7+Default_bandas!J8+Parametros!$B$22)-Parametros!$B$22</f>
        <v/>
      </c>
      <c r="O11" s="17">
        <f>Parametros!$B$8+(Parametros!$B$23*H11-M11)*(Parametros!$B$27-Parametros!$B$8)/(N11-M11)</f>
        <v/>
      </c>
      <c r="P11" s="19">
        <f>IF(O11&lt;=Parametros!$B$27,"sí","no")</f>
        <v/>
      </c>
      <c r="Q11" s="19">
        <f>IF(M11&gt;0,"aprobar","rechazar")</f>
        <v/>
      </c>
      <c r="R11" s="27">
        <f>Parametros!$B$41*G11*M11/1000000</f>
        <v/>
      </c>
    </row>
    <row r="12">
      <c r="A12" s="22" t="n">
        <v>8</v>
      </c>
      <c r="B12" s="23" t="inlineStr">
        <is>
          <t>E</t>
        </is>
      </c>
      <c r="C12" s="9" t="inlineStr">
        <is>
          <t>abierta</t>
        </is>
      </c>
      <c r="D12" s="24">
        <f>Parametros!$B$35+Parametros!$B$34*(-3)</f>
        <v/>
      </c>
      <c r="E12" s="14" t="n">
        <v>0.2675</v>
      </c>
      <c r="F12" s="9" t="inlineStr">
        <is>
          <t>banda abierta</t>
        </is>
      </c>
      <c r="G12" s="12" t="n">
        <v>0.33</v>
      </c>
      <c r="H12" s="10">
        <f>Parametros!$B$7</f>
        <v/>
      </c>
      <c r="I12" s="25">
        <f>H12/Parametros!$B$7</f>
        <v/>
      </c>
      <c r="J12" s="15">
        <f>Default_bandas!K6</f>
        <v/>
      </c>
      <c r="K12" s="13">
        <f>I12*Default_bandas!K9</f>
        <v/>
      </c>
      <c r="L12" s="15">
        <f>K12/H12</f>
        <v/>
      </c>
      <c r="M12" s="26">
        <f>I12*((1-J12)*LGD_motos!$B$6+Default_bandas!K7+Parametros!$B$22)-Parametros!$B$22</f>
        <v/>
      </c>
      <c r="N12" s="13">
        <f>I12*((1-J12)*LGD_motos!$B$7+Default_bandas!K8+Parametros!$B$22)-Parametros!$B$22</f>
        <v/>
      </c>
      <c r="O12" s="17">
        <f>Parametros!$B$8+(Parametros!$B$23*H12-M12)*(Parametros!$B$27-Parametros!$B$8)/(N12-M12)</f>
        <v/>
      </c>
      <c r="P12" s="19">
        <f>IF(O12&lt;=Parametros!$B$27,"sí","no")</f>
        <v/>
      </c>
      <c r="Q12" s="19">
        <f>IF(M12&gt;0,"aprobar","rechazar")</f>
        <v/>
      </c>
      <c r="R12" s="27">
        <f>Parametros!$B$41*G12*M12/1000000</f>
        <v/>
      </c>
    </row>
    <row r="13">
      <c r="B13" s="23" t="inlineStr">
        <is>
          <t>Total</t>
        </is>
      </c>
      <c r="E13" s="15">
        <f>SUMPRODUCT(G5:G12,E5:E12)/SUM(G5:G12)</f>
        <v/>
      </c>
      <c r="G13" s="28">
        <f>SUM(G5:G12)</f>
        <v/>
      </c>
      <c r="J13" s="15">
        <f>SUMPRODUCT(G5:G12,J5:J12)/SUM(G5:G12)</f>
        <v/>
      </c>
      <c r="R13" s="27">
        <f>SUM(R5:R12)</f>
        <v/>
      </c>
    </row>
    <row r="15">
      <c r="B15" s="23" t="inlineStr">
        <is>
          <t>Chequeo</t>
        </is>
      </c>
      <c r="C15" s="9">
        <f>IF(ABS(G13-1)&lt;0.0001,"la mezcla suma 100%","ATENCIÓN: la mezcla no suma 100%")</f>
        <v/>
      </c>
      <c r="D15" s="29" t="n"/>
      <c r="E15" s="29" t="n"/>
      <c r="F15" s="29" t="n"/>
      <c r="G15" s="29" t="n"/>
      <c r="H15" s="30" t="n"/>
    </row>
    <row r="17">
      <c r="B17" s="5" t="inlineStr">
        <is>
          <t>Lectura: E[VPN] &gt; 0 ⇒ la banda paga su riesgo a la tasa base. «Tasa mensual requerida» = tasa que deja un E[VPN] igual al margen objetivo (secante entre tasa base y TMC; fuera de ese intervalo es extrapolación). Si no cabe bajo la TMC, no existe precio legal que pague el riesgo con ese margen: rechazar, pedir más pie o acortar plazo.</t>
        </is>
      </c>
    </row>
    <row r="18"/>
    <row r="19"/>
  </sheetData>
  <mergeCells count="2">
    <mergeCell ref="B17:R19"/>
    <mergeCell ref="C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9" customWidth="1" min="11" max="11"/>
    <col width="13" customWidth="1" min="12" max="12"/>
    <col width="11" customWidth="1" min="13" max="13"/>
    <col width="12" customWidth="1" min="14" max="14"/>
    <col width="12" customWidth="1" min="15" max="15"/>
  </cols>
  <sheetData>
    <row r="1">
      <c r="A1" s="6" t="inlineStr">
        <is>
          <t>Tabla de estrategia del caso motos: una fila por cutoff (fronteras de banda)</t>
        </is>
      </c>
    </row>
    <row r="2">
      <c r="A2" s="21" t="inlineStr">
        <is>
          <t>Cada fila aprueba desde A1 hasta la banda indicada. Utilidad = E[VPN] al costo de fondos. Margen = Utilidad + EL (antes de pérdidas de crédito). Todo por mes, con las solicitudes de Parametros.</t>
        </is>
      </c>
    </row>
    <row r="4" ht="45" customHeight="1">
      <c r="A4" s="7" t="inlineStr">
        <is>
          <t>aprueba hasta banda</t>
        </is>
      </c>
      <c r="B4" s="7" t="inlineStr">
        <is>
          <t>cutoff (score ≥)</t>
        </is>
      </c>
      <c r="C4" s="7" t="inlineStr">
        <is>
          <t>aprobación</t>
        </is>
      </c>
      <c r="D4" s="7" t="inlineStr">
        <is>
          <t>n aprobados</t>
        </is>
      </c>
      <c r="E4" s="7" t="inlineStr">
        <is>
          <t>PD12 media aprobada</t>
        </is>
      </c>
      <c r="F4" s="7" t="inlineStr">
        <is>
          <t>PD de vida media</t>
        </is>
      </c>
      <c r="G4" s="7" t="inlineStr">
        <is>
          <t>monto aprobado (MM$)</t>
        </is>
      </c>
      <c r="H4" s="7" t="inlineStr">
        <is>
          <t>EL (VP, MM$)</t>
        </is>
      </c>
      <c r="I4" s="7" t="inlineStr">
        <is>
          <t>margen (MM$)</t>
        </is>
      </c>
      <c r="J4" s="7" t="inlineStr">
        <is>
          <t>utilidad esperada (MM$)</t>
        </is>
      </c>
      <c r="K4" s="7" t="inlineStr">
        <is>
          <t>EL / monto</t>
        </is>
      </c>
      <c r="L4" s="7" t="inlineStr">
        <is>
          <t>E[VPN] del crédito marginal</t>
        </is>
      </c>
      <c r="M4" s="7" t="inlineStr">
        <is>
          <t>¿cumple apetito PD?</t>
        </is>
      </c>
      <c r="N4" s="7" t="inlineStr">
        <is>
          <t>¿cumple aprobación mín.?</t>
        </is>
      </c>
      <c r="O4" s="7" t="inlineStr">
        <is>
          <t>aux: aprobación si cumple ambas</t>
        </is>
      </c>
    </row>
    <row r="5">
      <c r="A5" s="23" t="inlineStr">
        <is>
          <t>A1</t>
        </is>
      </c>
      <c r="B5" s="22">
        <f>Bandas!C5</f>
        <v/>
      </c>
      <c r="C5" s="28">
        <f>SUMPRODUCT((Bandas!$A$5:$A$12&lt;=1)*Bandas!$G$5:$G$12)</f>
        <v/>
      </c>
      <c r="D5" s="24">
        <f>C5*Parametros!$B$41</f>
        <v/>
      </c>
      <c r="E5" s="15">
        <f>SUMPRODUCT((Bandas!$A$5:$A$12&lt;=1)*Bandas!$G$5:$G$12*Bandas!$E$5:$E$12)/C5</f>
        <v/>
      </c>
      <c r="F5" s="15">
        <f>SUMPRODUCT((Bandas!$A$5:$A$12&lt;=1)*Bandas!$G$5:$G$12*Bandas!$J$5:$J$12)/C5</f>
        <v/>
      </c>
      <c r="G5" s="27">
        <f>Parametros!$B$41*SUMPRODUCT((Bandas!$A$5:$A$12&lt;=1)*Bandas!$G$5:$G$12*Bandas!$H$5:$H$12)/1000000</f>
        <v/>
      </c>
      <c r="H5" s="31">
        <f>Parametros!$B$41*SUMPRODUCT((Bandas!$A$5:$A$12&lt;=1)*Bandas!$G$5:$G$12*Bandas!$K$5:$K$12)/1000000</f>
        <v/>
      </c>
      <c r="I5" s="31">
        <f>J5+H5</f>
        <v/>
      </c>
      <c r="J5" s="32">
        <f>Parametros!$B$41*SUMPRODUCT((Bandas!$A$5:$A$12&lt;=1)*Bandas!$G$5:$G$12*Bandas!$M$5:$M$12)/1000000</f>
        <v/>
      </c>
      <c r="K5" s="15">
        <f>H5/G5</f>
        <v/>
      </c>
      <c r="L5" s="13">
        <f>Bandas!M5</f>
        <v/>
      </c>
      <c r="M5" s="19">
        <f>IF(E5&lt;=Parametros!$B$42,"sí","no")</f>
        <v/>
      </c>
      <c r="N5" s="19">
        <f>IF(C5&gt;=Parametros!$B$43,"sí","no")</f>
        <v/>
      </c>
      <c r="O5" s="28">
        <f>IF(AND(M5="sí",N5="sí"),C5,-1)</f>
        <v/>
      </c>
    </row>
    <row r="6">
      <c r="A6" s="23" t="inlineStr">
        <is>
          <t>A2</t>
        </is>
      </c>
      <c r="B6" s="22">
        <f>Bandas!C6</f>
        <v/>
      </c>
      <c r="C6" s="28">
        <f>SUMPRODUCT((Bandas!$A$5:$A$12&lt;=2)*Bandas!$G$5:$G$12)</f>
        <v/>
      </c>
      <c r="D6" s="24">
        <f>C6*Parametros!$B$41</f>
        <v/>
      </c>
      <c r="E6" s="15">
        <f>SUMPRODUCT((Bandas!$A$5:$A$12&lt;=2)*Bandas!$G$5:$G$12*Bandas!$E$5:$E$12)/C6</f>
        <v/>
      </c>
      <c r="F6" s="15">
        <f>SUMPRODUCT((Bandas!$A$5:$A$12&lt;=2)*Bandas!$G$5:$G$12*Bandas!$J$5:$J$12)/C6</f>
        <v/>
      </c>
      <c r="G6" s="27">
        <f>Parametros!$B$41*SUMPRODUCT((Bandas!$A$5:$A$12&lt;=2)*Bandas!$G$5:$G$12*Bandas!$H$5:$H$12)/1000000</f>
        <v/>
      </c>
      <c r="H6" s="31">
        <f>Parametros!$B$41*SUMPRODUCT((Bandas!$A$5:$A$12&lt;=2)*Bandas!$G$5:$G$12*Bandas!$K$5:$K$12)/1000000</f>
        <v/>
      </c>
      <c r="I6" s="31">
        <f>J6+H6</f>
        <v/>
      </c>
      <c r="J6" s="32">
        <f>Parametros!$B$41*SUMPRODUCT((Bandas!$A$5:$A$12&lt;=2)*Bandas!$G$5:$G$12*Bandas!$M$5:$M$12)/1000000</f>
        <v/>
      </c>
      <c r="K6" s="15">
        <f>H6/G6</f>
        <v/>
      </c>
      <c r="L6" s="13">
        <f>Bandas!M6</f>
        <v/>
      </c>
      <c r="M6" s="19">
        <f>IF(E6&lt;=Parametros!$B$42,"sí","no")</f>
        <v/>
      </c>
      <c r="N6" s="19">
        <f>IF(C6&gt;=Parametros!$B$43,"sí","no")</f>
        <v/>
      </c>
      <c r="O6" s="28">
        <f>IF(AND(M6="sí",N6="sí"),C6,-1)</f>
        <v/>
      </c>
    </row>
    <row r="7">
      <c r="A7" s="23" t="inlineStr">
        <is>
          <t>B1</t>
        </is>
      </c>
      <c r="B7" s="22">
        <f>Bandas!C7</f>
        <v/>
      </c>
      <c r="C7" s="28">
        <f>SUMPRODUCT((Bandas!$A$5:$A$12&lt;=3)*Bandas!$G$5:$G$12)</f>
        <v/>
      </c>
      <c r="D7" s="24">
        <f>C7*Parametros!$B$41</f>
        <v/>
      </c>
      <c r="E7" s="15">
        <f>SUMPRODUCT((Bandas!$A$5:$A$12&lt;=3)*Bandas!$G$5:$G$12*Bandas!$E$5:$E$12)/C7</f>
        <v/>
      </c>
      <c r="F7" s="15">
        <f>SUMPRODUCT((Bandas!$A$5:$A$12&lt;=3)*Bandas!$G$5:$G$12*Bandas!$J$5:$J$12)/C7</f>
        <v/>
      </c>
      <c r="G7" s="27">
        <f>Parametros!$B$41*SUMPRODUCT((Bandas!$A$5:$A$12&lt;=3)*Bandas!$G$5:$G$12*Bandas!$H$5:$H$12)/1000000</f>
        <v/>
      </c>
      <c r="H7" s="31">
        <f>Parametros!$B$41*SUMPRODUCT((Bandas!$A$5:$A$12&lt;=3)*Bandas!$G$5:$G$12*Bandas!$K$5:$K$12)/1000000</f>
        <v/>
      </c>
      <c r="I7" s="31">
        <f>J7+H7</f>
        <v/>
      </c>
      <c r="J7" s="32">
        <f>Parametros!$B$41*SUMPRODUCT((Bandas!$A$5:$A$12&lt;=3)*Bandas!$G$5:$G$12*Bandas!$M$5:$M$12)/1000000</f>
        <v/>
      </c>
      <c r="K7" s="15">
        <f>H7/G7</f>
        <v/>
      </c>
      <c r="L7" s="13">
        <f>Bandas!M7</f>
        <v/>
      </c>
      <c r="M7" s="19">
        <f>IF(E7&lt;=Parametros!$B$42,"sí","no")</f>
        <v/>
      </c>
      <c r="N7" s="19">
        <f>IF(C7&gt;=Parametros!$B$43,"sí","no")</f>
        <v/>
      </c>
      <c r="O7" s="28">
        <f>IF(AND(M7="sí",N7="sí"),C7,-1)</f>
        <v/>
      </c>
    </row>
    <row r="8">
      <c r="A8" s="23" t="inlineStr">
        <is>
          <t>B2</t>
        </is>
      </c>
      <c r="B8" s="22">
        <f>Bandas!C8</f>
        <v/>
      </c>
      <c r="C8" s="28">
        <f>SUMPRODUCT((Bandas!$A$5:$A$12&lt;=4)*Bandas!$G$5:$G$12)</f>
        <v/>
      </c>
      <c r="D8" s="24">
        <f>C8*Parametros!$B$41</f>
        <v/>
      </c>
      <c r="E8" s="15">
        <f>SUMPRODUCT((Bandas!$A$5:$A$12&lt;=4)*Bandas!$G$5:$G$12*Bandas!$E$5:$E$12)/C8</f>
        <v/>
      </c>
      <c r="F8" s="15">
        <f>SUMPRODUCT((Bandas!$A$5:$A$12&lt;=4)*Bandas!$G$5:$G$12*Bandas!$J$5:$J$12)/C8</f>
        <v/>
      </c>
      <c r="G8" s="27">
        <f>Parametros!$B$41*SUMPRODUCT((Bandas!$A$5:$A$12&lt;=4)*Bandas!$G$5:$G$12*Bandas!$H$5:$H$12)/1000000</f>
        <v/>
      </c>
      <c r="H8" s="31">
        <f>Parametros!$B$41*SUMPRODUCT((Bandas!$A$5:$A$12&lt;=4)*Bandas!$G$5:$G$12*Bandas!$K$5:$K$12)/1000000</f>
        <v/>
      </c>
      <c r="I8" s="31">
        <f>J8+H8</f>
        <v/>
      </c>
      <c r="J8" s="32">
        <f>Parametros!$B$41*SUMPRODUCT((Bandas!$A$5:$A$12&lt;=4)*Bandas!$G$5:$G$12*Bandas!$M$5:$M$12)/1000000</f>
        <v/>
      </c>
      <c r="K8" s="15">
        <f>H8/G8</f>
        <v/>
      </c>
      <c r="L8" s="13">
        <f>Bandas!M8</f>
        <v/>
      </c>
      <c r="M8" s="19">
        <f>IF(E8&lt;=Parametros!$B$42,"sí","no")</f>
        <v/>
      </c>
      <c r="N8" s="19">
        <f>IF(C8&gt;=Parametros!$B$43,"sí","no")</f>
        <v/>
      </c>
      <c r="O8" s="28">
        <f>IF(AND(M8="sí",N8="sí"),C8,-1)</f>
        <v/>
      </c>
    </row>
    <row r="9">
      <c r="A9" s="23" t="inlineStr">
        <is>
          <t>C1</t>
        </is>
      </c>
      <c r="B9" s="22">
        <f>Bandas!C9</f>
        <v/>
      </c>
      <c r="C9" s="28">
        <f>SUMPRODUCT((Bandas!$A$5:$A$12&lt;=5)*Bandas!$G$5:$G$12)</f>
        <v/>
      </c>
      <c r="D9" s="24">
        <f>C9*Parametros!$B$41</f>
        <v/>
      </c>
      <c r="E9" s="15">
        <f>SUMPRODUCT((Bandas!$A$5:$A$12&lt;=5)*Bandas!$G$5:$G$12*Bandas!$E$5:$E$12)/C9</f>
        <v/>
      </c>
      <c r="F9" s="15">
        <f>SUMPRODUCT((Bandas!$A$5:$A$12&lt;=5)*Bandas!$G$5:$G$12*Bandas!$J$5:$J$12)/C9</f>
        <v/>
      </c>
      <c r="G9" s="27">
        <f>Parametros!$B$41*SUMPRODUCT((Bandas!$A$5:$A$12&lt;=5)*Bandas!$G$5:$G$12*Bandas!$H$5:$H$12)/1000000</f>
        <v/>
      </c>
      <c r="H9" s="31">
        <f>Parametros!$B$41*SUMPRODUCT((Bandas!$A$5:$A$12&lt;=5)*Bandas!$G$5:$G$12*Bandas!$K$5:$K$12)/1000000</f>
        <v/>
      </c>
      <c r="I9" s="31">
        <f>J9+H9</f>
        <v/>
      </c>
      <c r="J9" s="32">
        <f>Parametros!$B$41*SUMPRODUCT((Bandas!$A$5:$A$12&lt;=5)*Bandas!$G$5:$G$12*Bandas!$M$5:$M$12)/1000000</f>
        <v/>
      </c>
      <c r="K9" s="15">
        <f>H9/G9</f>
        <v/>
      </c>
      <c r="L9" s="13">
        <f>Bandas!M9</f>
        <v/>
      </c>
      <c r="M9" s="19">
        <f>IF(E9&lt;=Parametros!$B$42,"sí","no")</f>
        <v/>
      </c>
      <c r="N9" s="19">
        <f>IF(C9&gt;=Parametros!$B$43,"sí","no")</f>
        <v/>
      </c>
      <c r="O9" s="28">
        <f>IF(AND(M9="sí",N9="sí"),C9,-1)</f>
        <v/>
      </c>
    </row>
    <row r="10">
      <c r="A10" s="23" t="inlineStr">
        <is>
          <t>C2</t>
        </is>
      </c>
      <c r="B10" s="22">
        <f>Bandas!C10</f>
        <v/>
      </c>
      <c r="C10" s="28">
        <f>SUMPRODUCT((Bandas!$A$5:$A$12&lt;=6)*Bandas!$G$5:$G$12)</f>
        <v/>
      </c>
      <c r="D10" s="24">
        <f>C10*Parametros!$B$41</f>
        <v/>
      </c>
      <c r="E10" s="15">
        <f>SUMPRODUCT((Bandas!$A$5:$A$12&lt;=6)*Bandas!$G$5:$G$12*Bandas!$E$5:$E$12)/C10</f>
        <v/>
      </c>
      <c r="F10" s="15">
        <f>SUMPRODUCT((Bandas!$A$5:$A$12&lt;=6)*Bandas!$G$5:$G$12*Bandas!$J$5:$J$12)/C10</f>
        <v/>
      </c>
      <c r="G10" s="27">
        <f>Parametros!$B$41*SUMPRODUCT((Bandas!$A$5:$A$12&lt;=6)*Bandas!$G$5:$G$12*Bandas!$H$5:$H$12)/1000000</f>
        <v/>
      </c>
      <c r="H10" s="31">
        <f>Parametros!$B$41*SUMPRODUCT((Bandas!$A$5:$A$12&lt;=6)*Bandas!$G$5:$G$12*Bandas!$K$5:$K$12)/1000000</f>
        <v/>
      </c>
      <c r="I10" s="31">
        <f>J10+H10</f>
        <v/>
      </c>
      <c r="J10" s="32">
        <f>Parametros!$B$41*SUMPRODUCT((Bandas!$A$5:$A$12&lt;=6)*Bandas!$G$5:$G$12*Bandas!$M$5:$M$12)/1000000</f>
        <v/>
      </c>
      <c r="K10" s="15">
        <f>H10/G10</f>
        <v/>
      </c>
      <c r="L10" s="13">
        <f>Bandas!M10</f>
        <v/>
      </c>
      <c r="M10" s="19">
        <f>IF(E10&lt;=Parametros!$B$42,"sí","no")</f>
        <v/>
      </c>
      <c r="N10" s="19">
        <f>IF(C10&gt;=Parametros!$B$43,"sí","no")</f>
        <v/>
      </c>
      <c r="O10" s="28">
        <f>IF(AND(M10="sí",N10="sí"),C10,-1)</f>
        <v/>
      </c>
    </row>
    <row r="11">
      <c r="A11" s="23" t="inlineStr">
        <is>
          <t>D</t>
        </is>
      </c>
      <c r="B11" s="22">
        <f>Bandas!C11</f>
        <v/>
      </c>
      <c r="C11" s="28">
        <f>SUMPRODUCT((Bandas!$A$5:$A$12&lt;=7)*Bandas!$G$5:$G$12)</f>
        <v/>
      </c>
      <c r="D11" s="24">
        <f>C11*Parametros!$B$41</f>
        <v/>
      </c>
      <c r="E11" s="15">
        <f>SUMPRODUCT((Bandas!$A$5:$A$12&lt;=7)*Bandas!$G$5:$G$12*Bandas!$E$5:$E$12)/C11</f>
        <v/>
      </c>
      <c r="F11" s="15">
        <f>SUMPRODUCT((Bandas!$A$5:$A$12&lt;=7)*Bandas!$G$5:$G$12*Bandas!$J$5:$J$12)/C11</f>
        <v/>
      </c>
      <c r="G11" s="27">
        <f>Parametros!$B$41*SUMPRODUCT((Bandas!$A$5:$A$12&lt;=7)*Bandas!$G$5:$G$12*Bandas!$H$5:$H$12)/1000000</f>
        <v/>
      </c>
      <c r="H11" s="31">
        <f>Parametros!$B$41*SUMPRODUCT((Bandas!$A$5:$A$12&lt;=7)*Bandas!$G$5:$G$12*Bandas!$K$5:$K$12)/1000000</f>
        <v/>
      </c>
      <c r="I11" s="31">
        <f>J11+H11</f>
        <v/>
      </c>
      <c r="J11" s="32">
        <f>Parametros!$B$41*SUMPRODUCT((Bandas!$A$5:$A$12&lt;=7)*Bandas!$G$5:$G$12*Bandas!$M$5:$M$12)/1000000</f>
        <v/>
      </c>
      <c r="K11" s="15">
        <f>H11/G11</f>
        <v/>
      </c>
      <c r="L11" s="13">
        <f>Bandas!M11</f>
        <v/>
      </c>
      <c r="M11" s="19">
        <f>IF(E11&lt;=Parametros!$B$42,"sí","no")</f>
        <v/>
      </c>
      <c r="N11" s="19">
        <f>IF(C11&gt;=Parametros!$B$43,"sí","no")</f>
        <v/>
      </c>
      <c r="O11" s="28">
        <f>IF(AND(M11="sí",N11="sí"),C11,-1)</f>
        <v/>
      </c>
    </row>
    <row r="12">
      <c r="A12" s="23" t="inlineStr">
        <is>
          <t>E</t>
        </is>
      </c>
      <c r="B12" s="9" t="inlineStr">
        <is>
          <t>sin corte</t>
        </is>
      </c>
      <c r="C12" s="28">
        <f>SUMPRODUCT((Bandas!$A$5:$A$12&lt;=8)*Bandas!$G$5:$G$12)</f>
        <v/>
      </c>
      <c r="D12" s="24">
        <f>C12*Parametros!$B$41</f>
        <v/>
      </c>
      <c r="E12" s="15">
        <f>SUMPRODUCT((Bandas!$A$5:$A$12&lt;=8)*Bandas!$G$5:$G$12*Bandas!$E$5:$E$12)/C12</f>
        <v/>
      </c>
      <c r="F12" s="15">
        <f>SUMPRODUCT((Bandas!$A$5:$A$12&lt;=8)*Bandas!$G$5:$G$12*Bandas!$J$5:$J$12)/C12</f>
        <v/>
      </c>
      <c r="G12" s="27">
        <f>Parametros!$B$41*SUMPRODUCT((Bandas!$A$5:$A$12&lt;=8)*Bandas!$G$5:$G$12*Bandas!$H$5:$H$12)/1000000</f>
        <v/>
      </c>
      <c r="H12" s="31">
        <f>Parametros!$B$41*SUMPRODUCT((Bandas!$A$5:$A$12&lt;=8)*Bandas!$G$5:$G$12*Bandas!$K$5:$K$12)/1000000</f>
        <v/>
      </c>
      <c r="I12" s="31">
        <f>J12+H12</f>
        <v/>
      </c>
      <c r="J12" s="32">
        <f>Parametros!$B$41*SUMPRODUCT((Bandas!$A$5:$A$12&lt;=8)*Bandas!$G$5:$G$12*Bandas!$M$5:$M$12)/1000000</f>
        <v/>
      </c>
      <c r="K12" s="15">
        <f>H12/G12</f>
        <v/>
      </c>
      <c r="L12" s="13">
        <f>Bandas!M12</f>
        <v/>
      </c>
      <c r="M12" s="19">
        <f>IF(E12&lt;=Parametros!$B$42,"sí","no")</f>
        <v/>
      </c>
      <c r="N12" s="19">
        <f>IF(C12&gt;=Parametros!$B$43,"sí","no")</f>
        <v/>
      </c>
      <c r="O12" s="28">
        <f>IF(AND(M12="sí",N12="sí"),C12,-1)</f>
        <v/>
      </c>
    </row>
    <row r="14">
      <c r="A14" s="8" t="inlineStr">
        <is>
          <t>Resumen</t>
        </is>
      </c>
    </row>
    <row r="15">
      <c r="A15" t="inlineStr">
        <is>
          <t>Cutoff de máxima utilidad (aprueba hasta la banda)</t>
        </is>
      </c>
      <c r="G15" s="33">
        <f>INDEX(A5:A12,MATCH(MAX(J5:J12),J5:J12,0))</f>
        <v/>
      </c>
    </row>
    <row r="16">
      <c r="A16" t="inlineStr">
        <is>
          <t>Utilidad máxima (MM$ por mes)</t>
        </is>
      </c>
      <c r="G16" s="32">
        <f>MAX(J5:J12)</f>
        <v/>
      </c>
    </row>
    <row r="17">
      <c r="A17" t="inlineStr">
        <is>
          <t>Aprobación en el cutoff de máxima utilidad</t>
        </is>
      </c>
      <c r="G17" s="34">
        <f>INDEX(C5:C12,MATCH(MAX(J5:J12),J5:J12,0))</f>
        <v/>
      </c>
    </row>
    <row r="18">
      <c r="A18" t="inlineStr">
        <is>
          <t>Cutoff por apetito (el más laxo que cumple PD máx. y aprobación mín.)</t>
        </is>
      </c>
      <c r="G18" s="33">
        <f>IF(MAX(O5:O12)&lt;0,"ninguno cumple",INDEX(A5:A12,MATCH(MAX(O5:O12),O5:O12,0)))</f>
        <v/>
      </c>
    </row>
    <row r="19">
      <c r="A19" t="inlineStr">
        <is>
          <t>Utilidad en el cutoff por apetito (MM$)</t>
        </is>
      </c>
      <c r="G19" s="32">
        <f>IF(MAX(O5:O12)&lt;0,0,INDEX(J5:J12,MATCH(MAX(O5:O12),O5:O12,0)))</f>
        <v/>
      </c>
    </row>
    <row r="20">
      <c r="A20" t="inlineStr">
        <is>
          <t>Precio sombra del apetito (utilidad sacrificada, MM$)</t>
        </is>
      </c>
      <c r="G20" s="32">
        <f>IF(MAX(O5:O12)&lt;0,0,G16-G19)</f>
        <v/>
      </c>
    </row>
    <row r="22">
      <c r="A22" s="5" t="inlineStr">
        <is>
          <t>Lectura: el cutoff de máxima utilidad aprueba toda banda con E[VPN] &gt; 0 (condición marginal). El apetito es una restricción sobre el PROMEDIO de la cartera: si es más estricto, la diferencia de utilidad es su precio sombra. Con el cutoff en fronteras de banda, el óptimo continuo (hoja Breakeven) puede caer DENTRO de una banda.</t>
        </is>
      </c>
    </row>
    <row r="23"/>
    <row r="24"/>
  </sheetData>
  <mergeCells count="1">
    <mergeCell ref="A22:O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Odds y score de breakeven</t>
        </is>
      </c>
    </row>
    <row r="3">
      <c r="A3" s="8" t="inlineStr">
        <is>
          <t>A. Modelo del curso: un período, EAD = monto, LGD fija</t>
        </is>
      </c>
    </row>
    <row r="4">
      <c r="A4" s="9" t="inlineStr">
        <is>
          <t>k = costo de fondos + costos (% monto)</t>
        </is>
      </c>
      <c r="B4" s="15">
        <f>Parametros!$B$48+Parametros!$B$49</f>
        <v/>
      </c>
    </row>
    <row r="5">
      <c r="A5" s="9" t="inlineStr">
        <is>
          <t>g = ganancia si bueno = r − k</t>
        </is>
      </c>
      <c r="B5" s="15">
        <f>Parametros!$B$47-B4</f>
        <v/>
      </c>
    </row>
    <row r="6">
      <c r="A6" s="9" t="inlineStr">
        <is>
          <t>l = pérdida si malo = LGD + k</t>
        </is>
      </c>
      <c r="B6" s="15">
        <f>Parametros!$B$46+B4</f>
        <v/>
      </c>
    </row>
    <row r="7">
      <c r="A7" s="9" t="inlineStr">
        <is>
          <t>Odds de breakeven = l / g</t>
        </is>
      </c>
      <c r="B7" s="35">
        <f>IF(B5&lt;=0,"sin breakeven (r ≤ k)",B6/B5)</f>
        <v/>
      </c>
    </row>
    <row r="8">
      <c r="A8" s="9" t="inlineStr">
        <is>
          <t>PD de breakeven = g / (g + l)</t>
        </is>
      </c>
      <c r="B8" s="36">
        <f>IF(B5&lt;=0,"—",B5/(B5+B6))</f>
        <v/>
      </c>
    </row>
    <row r="9">
      <c r="A9" s="9" t="inlineStr">
        <is>
          <t>Score de breakeven = offset + factor·ln(l/g)</t>
        </is>
      </c>
      <c r="B9" s="37">
        <f>IF(B5&lt;=0,"—",Parametros!$B$38+Parametros!$B$37*LN(B7))</f>
        <v/>
      </c>
    </row>
    <row r="10">
      <c r="A10" s="9" t="inlineStr">
        <is>
          <t>Banda donde cae el corte</t>
        </is>
      </c>
      <c r="B10" s="19">
        <f>IF(B5&lt;=0,"—",IF(B9&gt;=Bandas!$C$5,"A1",IF(B9&gt;=Bandas!$C$6,"A2",IF(B9&gt;=Bandas!$C$7,"B1",IF(B9&gt;=Bandas!$C$8,"B2",IF(B9&gt;=Bandas!$C$9,"C1",IF(B9&gt;=Bandas!$C$10,"C2",IF(B9&gt;=Bandas!$C$11,"D","E"))))))))</f>
        <v/>
      </c>
    </row>
    <row r="11">
      <c r="A11" s="9" t="inlineStr">
        <is>
          <t>Duplicar l/g sube el corte en (puntos) = factor·ln 2 = PDO</t>
        </is>
      </c>
      <c r="B11" s="31">
        <f>Parametros!$B$37*LN(2)</f>
        <v/>
      </c>
    </row>
    <row r="13">
      <c r="A13" s="38" t="inlineStr">
        <is>
          <t>Mini-calculadora de pricing (modelo A): tasa mínima para aprobar una PD dada</t>
        </is>
      </c>
    </row>
    <row r="14">
      <c r="A14" s="9" t="inlineStr">
        <is>
          <t>PD del cliente (editable)</t>
        </is>
      </c>
      <c r="B14" s="14" t="n">
        <v>0.08</v>
      </c>
    </row>
    <row r="15">
      <c r="A15" s="9" t="inlineStr">
        <is>
          <t>Tasa mínima r = (k + PD·LGD)/(1 − PD)</t>
        </is>
      </c>
      <c r="B15" s="36">
        <f>(B4+B14*Parametros!$B$46)/(1-B14)</f>
        <v/>
      </c>
    </row>
    <row r="17">
      <c r="A17" s="8" t="inlineStr">
        <is>
          <t>B. Caso motos: vida del crédito (tiempos de default comunes, límite PD → 0)</t>
        </is>
      </c>
    </row>
    <row r="18">
      <c r="A18" s="9" t="inlineStr">
        <is>
          <t>G = VPN si bueno (LGD_motos)</t>
        </is>
      </c>
      <c r="B18" s="13">
        <f>LGD_motos!B6</f>
        <v/>
      </c>
    </row>
    <row r="19">
      <c r="A19" s="9" t="inlineStr">
        <is>
          <t>L = −E[VPN | malo] (LGD_motos)</t>
        </is>
      </c>
      <c r="B19" s="13">
        <f>-LGD_motos!B11</f>
        <v/>
      </c>
    </row>
    <row r="20">
      <c r="A20" s="9" t="inlineStr">
        <is>
          <t>Odds de breakeven de VIDA = L / G</t>
        </is>
      </c>
      <c r="B20" s="35">
        <f>IF(B18&lt;=0,"sin breakeven (G ≤ 0)",B19/B18)</f>
        <v/>
      </c>
    </row>
    <row r="21">
      <c r="A21" s="9" t="inlineStr">
        <is>
          <t>PD de vida de breakeven = G/(G + L)</t>
        </is>
      </c>
      <c r="B21" s="15">
        <f>IF(B18&lt;=0,"—",B18/(B18+B19))</f>
        <v/>
      </c>
    </row>
    <row r="22">
      <c r="A22" s="9" t="inlineStr">
        <is>
          <t>κ (LGD_motos)</t>
        </is>
      </c>
      <c r="B22" s="20">
        <f>LGD_motos!B10</f>
        <v/>
      </c>
    </row>
    <row r="23">
      <c r="A23" s="9" t="inlineStr">
        <is>
          <t>PD12 de breakeven = 1 − (1 − PDvida)^(1/κ)</t>
        </is>
      </c>
      <c r="B23" s="36">
        <f>IF(B18&lt;=0,"—",1-(1-B21)^(1/B22))</f>
        <v/>
      </c>
    </row>
    <row r="24">
      <c r="A24" s="9" t="inlineStr">
        <is>
          <t>Score de breakeven (motos)</t>
        </is>
      </c>
      <c r="B24" s="37">
        <f>IF(B18&lt;=0,"—",Parametros!$B$38+Parametros!$B$37*LN((1-B23)/B23))</f>
        <v/>
      </c>
    </row>
    <row r="25">
      <c r="A25" s="9" t="inlineStr">
        <is>
          <t>Banda donde cae el corte</t>
        </is>
      </c>
      <c r="B25" s="19">
        <f>IF(B18&lt;=0,"—",IF(B24&gt;=Bandas!$C$5,"A1",IF(B24&gt;=Bandas!$C$6,"A2",IF(B24&gt;=Bandas!$C$7,"B1",IF(B24&gt;=Bandas!$C$8,"B2",IF(B24&gt;=Bandas!$C$9,"C1",IF(B24&gt;=Bandas!$C$10,"C2",IF(B24&gt;=Bandas!$C$11,"D","E"))))))))</f>
        <v/>
      </c>
    </row>
    <row r="26" ht="30" customHeight="1">
      <c r="A26" s="5" t="inlineStr">
        <is>
          <t>Nota: el breakeven exacto (tiempos propios de cada banda, notebook M17 §7.2) es algo más ESTRICTO que este, porque en bandas riesgosas los malos caen antes y el default temprano es el más caro. Con los supuestos por defecto la diferencia es &lt; 1 punto.</t>
        </is>
      </c>
    </row>
    <row r="27"/>
    <row r="29">
      <c r="A29" s="8" t="inlineStr">
        <is>
          <t>C. Sensibilidad viva del modelo A (tornado): score de breakeven con un supuesto en su extremo</t>
        </is>
      </c>
    </row>
    <row r="30">
      <c r="A30" s="7" t="inlineStr">
        <is>
          <t>supuesto</t>
        </is>
      </c>
      <c r="B30" s="7" t="inlineStr">
        <is>
          <t>valor bajo</t>
        </is>
      </c>
      <c r="C30" s="7" t="inlineStr">
        <is>
          <t>valor alto</t>
        </is>
      </c>
      <c r="D30" s="7" t="inlineStr">
        <is>
          <t>score (bajo)</t>
        </is>
      </c>
      <c r="E30" s="7" t="inlineStr">
        <is>
          <t>score (alto)</t>
        </is>
      </c>
      <c r="F30" s="7" t="inlineStr">
        <is>
          <t>rango (pts)</t>
        </is>
      </c>
    </row>
    <row r="31">
      <c r="A31" s="9" t="inlineStr">
        <is>
          <t>LGD</t>
        </is>
      </c>
      <c r="B31" s="12" t="n">
        <v>0.35</v>
      </c>
      <c r="C31" s="12" t="n">
        <v>0.55</v>
      </c>
      <c r="D31" s="18">
        <f>Parametros!$B$38+Parametros!$B$37*LN((B31+Parametros!$B$48+Parametros!$B$49)/(Parametros!$B$47-Parametros!$B$48-Parametros!$B$49))</f>
        <v/>
      </c>
      <c r="E31" s="18">
        <f>Parametros!$B$38+Parametros!$B$37*LN((C31+Parametros!$B$48+Parametros!$B$49)/(Parametros!$B$47-Parametros!$B$48-Parametros!$B$49))</f>
        <v/>
      </c>
      <c r="F31" s="18">
        <f>ABS(E31-D31)</f>
        <v/>
      </c>
    </row>
    <row r="32">
      <c r="A32" s="9" t="inlineStr">
        <is>
          <t>Tasa anual r</t>
        </is>
      </c>
      <c r="B32" s="12" t="n">
        <v>0.21</v>
      </c>
      <c r="C32" s="12" t="n">
        <v>0.27</v>
      </c>
      <c r="D32" s="18">
        <f>Parametros!$B$38+Parametros!$B$37*LN((Parametros!$B$46+Parametros!$B$48+Parametros!$B$49)/(B32-Parametros!$B$48-Parametros!$B$49))</f>
        <v/>
      </c>
      <c r="E32" s="18">
        <f>Parametros!$B$38+Parametros!$B$37*LN((Parametros!$B$46+Parametros!$B$48+Parametros!$B$49)/(C32-Parametros!$B$48-Parametros!$B$49))</f>
        <v/>
      </c>
      <c r="F32" s="18">
        <f>ABS(E32-D32)</f>
        <v/>
      </c>
    </row>
    <row r="33">
      <c r="A33" s="9" t="inlineStr">
        <is>
          <t>Costo de fondos</t>
        </is>
      </c>
      <c r="B33" s="12" t="n">
        <v>0.04</v>
      </c>
      <c r="C33" s="12" t="n">
        <v>0.08</v>
      </c>
      <c r="D33" s="18">
        <f>Parametros!$B$38+Parametros!$B$37*LN((Parametros!$B$46+B33+Parametros!$B$49)/(Parametros!$B$47-B33-Parametros!$B$49))</f>
        <v/>
      </c>
      <c r="E33" s="18">
        <f>Parametros!$B$38+Parametros!$B$37*LN((Parametros!$B$46+C33+Parametros!$B$49)/(Parametros!$B$47-C33-Parametros!$B$49))</f>
        <v/>
      </c>
      <c r="F33" s="18">
        <f>ABS(E33-D33)</f>
        <v/>
      </c>
    </row>
    <row r="34">
      <c r="A34" s="9" t="inlineStr">
        <is>
          <t>Costos operativos + adquisición</t>
        </is>
      </c>
      <c r="B34" s="12" t="n">
        <v>0.04</v>
      </c>
      <c r="C34" s="12" t="n">
        <v>0.08</v>
      </c>
      <c r="D34" s="18">
        <f>Parametros!$B$38+Parametros!$B$37*LN((Parametros!$B$46+Parametros!$B$48+B34)/(Parametros!$B$47-Parametros!$B$48-B34))</f>
        <v/>
      </c>
      <c r="E34" s="18">
        <f>Parametros!$B$38+Parametros!$B$37*LN((Parametros!$B$46+Parametros!$B$48+C34)/(Parametros!$B$47-Parametros!$B$48-C34))</f>
        <v/>
      </c>
      <c r="F34" s="18">
        <f>ABS(E34-D34)</f>
        <v/>
      </c>
    </row>
    <row r="35">
      <c r="A35" s="9" t="inlineStr">
        <is>
          <t>TC: Δδ en log-odds (mueve el corte factor·Δδ)</t>
        </is>
      </c>
      <c r="B35" s="39" t="n">
        <v>-0.25</v>
      </c>
      <c r="C35" s="39" t="n">
        <v>0.25</v>
      </c>
      <c r="D35" s="18">
        <f>$B$9+Parametros!$B$37*B35</f>
        <v/>
      </c>
      <c r="E35" s="18">
        <f>$B$9+Parametros!$B$37*C35</f>
        <v/>
      </c>
      <c r="F35" s="18">
        <f>ABS(E35-D35)</f>
        <v/>
      </c>
    </row>
    <row r="37">
      <c r="A37" s="5" t="inlineStr">
        <is>
          <t>Lectura: la fila TC no cambia la economía; dice cuánto debería moverse el corte en el score del modelo si la tendencia central verdadera difiere Δδ log-odds de la calibrada (±0,25 ⇒ ±7,2 pts). El tornado del caso motos completo (con depreciación, recupero, plazo, etc.) está en el notebook M17 §8.</t>
        </is>
      </c>
    </row>
    <row r="38"/>
    <row r="39"/>
  </sheetData>
  <mergeCells count="2">
    <mergeCell ref="A26:G27"/>
    <mergeCell ref="A37:G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6" t="inlineStr">
        <is>
          <t>Cronograma, valor de la moto y LGD por mes de default</t>
        </is>
      </c>
    </row>
    <row r="2">
      <c r="A2" s="21" t="inlineStr">
        <is>
          <t>Default = 90+ DPD alcanzado en el mes d (4 ≤ d ≤ N+3); última cuota pagada: d−4. Columnas H–L repiten el cronograma a la TMC (para la tasa requerida por banda).</t>
        </is>
      </c>
    </row>
    <row r="3">
      <c r="A3" s="9" t="inlineStr">
        <is>
          <t>Monto financiado M0</t>
        </is>
      </c>
      <c r="B3" s="13">
        <f>Parametros!$B$7</f>
        <v/>
      </c>
    </row>
    <row r="4">
      <c r="A4" s="9" t="inlineStr">
        <is>
          <t>Cuota (tasa base)</t>
        </is>
      </c>
      <c r="B4" s="13">
        <f>Parametros!$B$7*Parametros!$B$8/(1-(1+Parametros!$B$8)^(-Parametros!$B$10))</f>
        <v/>
      </c>
    </row>
    <row r="5">
      <c r="A5" s="9" t="inlineStr">
        <is>
          <t>Cuota (a la TMC)</t>
        </is>
      </c>
      <c r="B5" s="13">
        <f>Parametros!$B$7*Parametros!$B$27/(1-(1+Parametros!$B$27)^(-Parametros!$B$10))</f>
        <v/>
      </c>
    </row>
    <row r="6">
      <c r="A6" s="9" t="inlineStr">
        <is>
          <t>VPN si BUENO, G (tasa base)</t>
        </is>
      </c>
      <c r="B6" s="26">
        <f>-Parametros!$B$7-Parametros!$B$22+INDEX($G$18:$G$81,Parametros!$B$10+1)</f>
        <v/>
      </c>
    </row>
    <row r="7">
      <c r="A7" s="9" t="inlineStr">
        <is>
          <t>VPN si BUENO (a la TMC)</t>
        </is>
      </c>
      <c r="B7" s="13">
        <f>-Parametros!$B$7-Parametros!$B$22+INDEX($L$18:$L$81,Parametros!$B$10+1)</f>
        <v/>
      </c>
    </row>
    <row r="8">
      <c r="A8" s="9" t="inlineStr">
        <is>
          <t>S12 = Σ forma, d ≤ 12</t>
        </is>
      </c>
      <c r="B8" s="20">
        <f>SUMIF($A$18:$A$81,"&lt;=12",$W$18:$W$81)</f>
        <v/>
      </c>
    </row>
    <row r="9">
      <c r="A9" s="9" t="inlineStr">
        <is>
          <t>SN = Σ forma, d ≤ N+3</t>
        </is>
      </c>
      <c r="B9" s="20">
        <f>SUM($W$18:$W$81)</f>
        <v/>
      </c>
    </row>
    <row r="10">
      <c r="A10" s="9" t="inlineStr">
        <is>
          <t>κ = SN/S12 (PD vida = 1 − (1 − PD12)^κ)</t>
        </is>
      </c>
      <c r="B10" s="40">
        <f>B9/B8</f>
        <v/>
      </c>
    </row>
    <row r="11">
      <c r="A11" s="9" t="inlineStr">
        <is>
          <t>E[VPN | malo], tiempos comunes (tasa base)</t>
        </is>
      </c>
      <c r="B11" s="13">
        <f>SUMPRODUCT($Y$18:$Y$81,$T$18:$T$81)</f>
        <v/>
      </c>
    </row>
    <row r="12">
      <c r="A12" s="9" t="inlineStr">
        <is>
          <t>LGD ponderada (tiempos comunes × EAD)</t>
        </is>
      </c>
      <c r="B12" s="34">
        <f>SUMPRODUCT($Y$18:$Y$81,$S$18:$S$81,$N$18:$N$81)/SUMPRODUCT($Y$18:$Y$81,$N$18:$N$81)</f>
        <v/>
      </c>
    </row>
    <row r="13">
      <c r="A13" s="9" t="inlineStr">
        <is>
          <t>LGD si el default es en d = 4 (temprano)</t>
        </is>
      </c>
      <c r="B13" s="34">
        <f>INDEX($S$18:$S$81,5)</f>
        <v/>
      </c>
    </row>
    <row r="14">
      <c r="A14" s="9" t="inlineStr">
        <is>
          <t>LGD si el default es en d = N+3 (tardío)</t>
        </is>
      </c>
      <c r="B14" s="34">
        <f>INDEX($S$18:$S$81,Parametros!$B$10+4)</f>
        <v/>
      </c>
    </row>
    <row r="15">
      <c r="A15" s="9" t="inlineStr">
        <is>
          <t>Primer mes en que la moto neta cubre el saldo</t>
        </is>
      </c>
      <c r="B15" s="24">
        <f>IF(MAX($AA$18:$AA$81)=0,"nunca",INDEX($A$18:$A$81,MATCH(1,$AA$18:$AA$81,0)))</f>
        <v/>
      </c>
    </row>
    <row r="17">
      <c r="A17" s="7" t="inlineStr">
        <is>
          <t>mes k / d</t>
        </is>
      </c>
      <c r="B17" s="7" t="inlineStr">
        <is>
          <t>vigente</t>
        </is>
      </c>
      <c r="C17" s="7" t="inlineStr">
        <is>
          <t>cuota</t>
        </is>
      </c>
      <c r="D17" s="7" t="inlineStr">
        <is>
          <t>saldo B_k</t>
        </is>
      </c>
      <c r="E17" s="7" t="inlineStr">
        <is>
          <t>costo op. del mes</t>
        </is>
      </c>
      <c r="F17" s="7" t="inlineStr">
        <is>
          <t>flujo neto</t>
        </is>
      </c>
      <c r="G17" s="7" t="inlineStr">
        <is>
          <t>VP acumulado</t>
        </is>
      </c>
      <c r="H17" s="7" t="inlineStr">
        <is>
          <t>cuota TMC</t>
        </is>
      </c>
      <c r="I17" s="7" t="inlineStr">
        <is>
          <t>saldo TMC</t>
        </is>
      </c>
      <c r="J17" s="7" t="inlineStr">
        <is>
          <t>costo op. TMC</t>
        </is>
      </c>
      <c r="K17" s="7" t="inlineStr">
        <is>
          <t>flujo neto TMC</t>
        </is>
      </c>
      <c r="L17" s="7" t="inlineStr">
        <is>
          <t>VP acum. TMC</t>
        </is>
      </c>
      <c r="M17" s="7" t="inlineStr">
        <is>
          <t>¿d válido?</t>
        </is>
      </c>
      <c r="N17" s="7" t="inlineStr">
        <is>
          <t>EAD(d)</t>
        </is>
      </c>
      <c r="O17" s="7" t="inlineStr">
        <is>
          <t>valor moto a la venta</t>
        </is>
      </c>
      <c r="P17" s="7" t="inlineStr">
        <is>
          <t>acreencia</t>
        </is>
      </c>
      <c r="Q17" s="7" t="inlineStr">
        <is>
          <t>recupero neto (si hay moto)</t>
        </is>
      </c>
      <c r="R17" s="7" t="inlineStr">
        <is>
          <t>LGD si se recupera</t>
        </is>
      </c>
      <c r="S17" s="7" t="inlineStr">
        <is>
          <t>LGD(d) esperada</t>
        </is>
      </c>
      <c r="T17" s="7" t="inlineStr">
        <is>
          <t>VPN si default en d</t>
        </is>
      </c>
      <c r="U17" s="7" t="inlineStr">
        <is>
          <t>EAD(d) TMC</t>
        </is>
      </c>
      <c r="V17" s="7" t="inlineStr">
        <is>
          <t>VPN si default en d (TMC)</t>
        </is>
      </c>
      <c r="W17" s="7" t="inlineStr">
        <is>
          <t>forma s(d)</t>
        </is>
      </c>
      <c r="X17" s="7" t="inlineStr">
        <is>
          <t>S(d) acumulada</t>
        </is>
      </c>
      <c r="Y17" s="7" t="inlineStr">
        <is>
          <t>peso w(d) = s/SN</t>
        </is>
      </c>
      <c r="Z17" s="7" t="inlineStr">
        <is>
          <t>EL | default en d (VP otorg.)</t>
        </is>
      </c>
      <c r="AA17" s="7" t="inlineStr">
        <is>
          <t>¿moto neta ≥ saldo?</t>
        </is>
      </c>
    </row>
    <row r="18">
      <c r="A18" s="41" t="n">
        <v>0</v>
      </c>
      <c r="B18" s="41">
        <f>IF(A18&lt;=Parametros!$B$10,1,0)</f>
        <v/>
      </c>
      <c r="C18" s="42">
        <f>IF(AND(A18&gt;=1,A18&lt;=Parametros!$B$10),$B$4,0)</f>
        <v/>
      </c>
      <c r="D18" s="42">
        <f>IF(A18&lt;=Parametros!$B$10,Parametros!$B$7*((1+Parametros!$B$8)^Parametros!$B$10-(1+Parametros!$B$8)^A18)/((1+Parametros!$B$8)^Parametros!$B$10-1),0)</f>
        <v/>
      </c>
      <c r="E18" s="42">
        <f>0</f>
        <v/>
      </c>
      <c r="F18" s="42">
        <f>C18-E18</f>
        <v/>
      </c>
      <c r="G18" s="42">
        <f>F18/(1+Parametros!$B$20)^A18</f>
        <v/>
      </c>
      <c r="H18" s="42">
        <f>IF(AND(A18&gt;=1,A18&lt;=Parametros!$B$10),$B$5,0)</f>
        <v/>
      </c>
      <c r="I18" s="42">
        <f>IF(A18&lt;=Parametros!$B$10,Parametros!$B$7*((1+Parametros!$B$27)^Parametros!$B$10-(1+Parametros!$B$27)^A18)/((1+Parametros!$B$27)^Parametros!$B$10-1),0)</f>
        <v/>
      </c>
      <c r="J18" s="42">
        <f>0</f>
        <v/>
      </c>
      <c r="K18" s="42">
        <f>H18-J18</f>
        <v/>
      </c>
      <c r="L18" s="42">
        <f>K18/(1+Parametros!$B$20)^A18</f>
        <v/>
      </c>
      <c r="M18" s="41">
        <f>IF(AND(A18&gt;=4,A18&lt;=Parametros!$B$10+3),1,0)</f>
        <v/>
      </c>
      <c r="N18" s="42">
        <f>IF(M18=1,INDEX($D$18:$D$81,A18-3),0)</f>
        <v/>
      </c>
      <c r="O18" s="42">
        <f>IF(M18=1,Parametros!$B$5*(1-Parametros!$B$12)*(1-Parametros!$B$11)^((A18+Parametros!$B$14)/12),0)</f>
        <v/>
      </c>
      <c r="P18" s="42">
        <f>N18*(1+Parametros!$B$8)^(3+Parametros!$B$14)</f>
        <v/>
      </c>
      <c r="Q18" s="42">
        <f>MIN(O18*(1-Parametros!$B$13),P18)</f>
        <v/>
      </c>
      <c r="R18" s="43">
        <f>IF(M18=1,MAX(0,1-Q18/(1+Parametros!$B$20)^Parametros!$B$14/N18),0)</f>
        <v/>
      </c>
      <c r="S18" s="43">
        <f>IF(M18=1,Parametros!$B$15*R18+(1-Parametros!$B$15),0)</f>
        <v/>
      </c>
      <c r="T18" s="42">
        <f>IF(M18=1,-Parametros!$B$7-Parametros!$B$22+INDEX($G$18:$G$81,A18-3)+Parametros!$B$15*Q18/(1+Parametros!$B$20)^(A18+Parametros!$B$14),0)</f>
        <v/>
      </c>
      <c r="U18" s="42">
        <f>IF(M18=1,INDEX($I$18:$I$81,A18-3),0)</f>
        <v/>
      </c>
      <c r="V18" s="42">
        <f>IF(M18=1,-Parametros!$B$7-Parametros!$B$22+INDEX($L$18:$L$81,A18-3)+Parametros!$B$15*MIN(O18*(1-Parametros!$B$13),U18*(1+Parametros!$B$27)^(3+Parametros!$B$14))/(1+Parametros!$B$20)^(A18+Parametros!$B$14),0)</f>
        <v/>
      </c>
      <c r="W18" s="44">
        <f>IF(M18=1,((A18-3)/(Parametros!$B$16-3))*EXP(1-(A18-3)/(Parametros!$B$16-3)),0)</f>
        <v/>
      </c>
      <c r="X18" s="44">
        <f>W18</f>
        <v/>
      </c>
      <c r="Y18" s="45">
        <f>W18/$B$9</f>
        <v/>
      </c>
      <c r="Z18" s="42">
        <f>S18*N18/(1+Parametros!$B$20)^A18</f>
        <v/>
      </c>
      <c r="AA18" s="41">
        <f>IF(AND(M18=1,O18*(1-Parametros!$B$13)&gt;=N18),1,0)</f>
        <v/>
      </c>
    </row>
    <row r="19">
      <c r="A19" s="41" t="n">
        <v>1</v>
      </c>
      <c r="B19" s="41">
        <f>IF(A19&lt;=Parametros!$B$10,1,0)</f>
        <v/>
      </c>
      <c r="C19" s="42">
        <f>IF(AND(A19&gt;=1,A19&lt;=Parametros!$B$10),$B$4,0)</f>
        <v/>
      </c>
      <c r="D19" s="42">
        <f>IF(A19&lt;=Parametros!$B$10,Parametros!$B$7*((1+Parametros!$B$8)^Parametros!$B$10-(1+Parametros!$B$8)^A19)/((1+Parametros!$B$8)^Parametros!$B$10-1),0)</f>
        <v/>
      </c>
      <c r="E19" s="42">
        <f>IF(AND(A19&gt;=1,A19&lt;=Parametros!$B$10),Parametros!$B$21/12*D18,0)</f>
        <v/>
      </c>
      <c r="F19" s="42">
        <f>C19-E19</f>
        <v/>
      </c>
      <c r="G19" s="42">
        <f>F19/(1+Parametros!$B$20)^A19+G18</f>
        <v/>
      </c>
      <c r="H19" s="42">
        <f>IF(AND(A19&gt;=1,A19&lt;=Parametros!$B$10),$B$5,0)</f>
        <v/>
      </c>
      <c r="I19" s="42">
        <f>IF(A19&lt;=Parametros!$B$10,Parametros!$B$7*((1+Parametros!$B$27)^Parametros!$B$10-(1+Parametros!$B$27)^A19)/((1+Parametros!$B$27)^Parametros!$B$10-1),0)</f>
        <v/>
      </c>
      <c r="J19" s="42">
        <f>IF(AND(A19&gt;=1,A19&lt;=Parametros!$B$10),Parametros!$B$21/12*I18,0)</f>
        <v/>
      </c>
      <c r="K19" s="42">
        <f>H19-J19</f>
        <v/>
      </c>
      <c r="L19" s="42">
        <f>K19/(1+Parametros!$B$20)^A19+L18</f>
        <v/>
      </c>
      <c r="M19" s="41">
        <f>IF(AND(A19&gt;=4,A19&lt;=Parametros!$B$10+3),1,0)</f>
        <v/>
      </c>
      <c r="N19" s="42">
        <f>IF(M19=1,INDEX($D$18:$D$81,A19-3),0)</f>
        <v/>
      </c>
      <c r="O19" s="42">
        <f>IF(M19=1,Parametros!$B$5*(1-Parametros!$B$12)*(1-Parametros!$B$11)^((A19+Parametros!$B$14)/12),0)</f>
        <v/>
      </c>
      <c r="P19" s="42">
        <f>N19*(1+Parametros!$B$8)^(3+Parametros!$B$14)</f>
        <v/>
      </c>
      <c r="Q19" s="42">
        <f>MIN(O19*(1-Parametros!$B$13),P19)</f>
        <v/>
      </c>
      <c r="R19" s="43">
        <f>IF(M19=1,MAX(0,1-Q19/(1+Parametros!$B$20)^Parametros!$B$14/N19),0)</f>
        <v/>
      </c>
      <c r="S19" s="43">
        <f>IF(M19=1,Parametros!$B$15*R19+(1-Parametros!$B$15),0)</f>
        <v/>
      </c>
      <c r="T19" s="42">
        <f>IF(M19=1,-Parametros!$B$7-Parametros!$B$22+INDEX($G$18:$G$81,A19-3)+Parametros!$B$15*Q19/(1+Parametros!$B$20)^(A19+Parametros!$B$14),0)</f>
        <v/>
      </c>
      <c r="U19" s="42">
        <f>IF(M19=1,INDEX($I$18:$I$81,A19-3),0)</f>
        <v/>
      </c>
      <c r="V19" s="42">
        <f>IF(M19=1,-Parametros!$B$7-Parametros!$B$22+INDEX($L$18:$L$81,A19-3)+Parametros!$B$15*MIN(O19*(1-Parametros!$B$13),U19*(1+Parametros!$B$27)^(3+Parametros!$B$14))/(1+Parametros!$B$20)^(A19+Parametros!$B$14),0)</f>
        <v/>
      </c>
      <c r="W19" s="44">
        <f>IF(M19=1,((A19-3)/(Parametros!$B$16-3))*EXP(1-(A19-3)/(Parametros!$B$16-3)),0)</f>
        <v/>
      </c>
      <c r="X19" s="44">
        <f>W19+X18</f>
        <v/>
      </c>
      <c r="Y19" s="45">
        <f>W19/$B$9</f>
        <v/>
      </c>
      <c r="Z19" s="42">
        <f>S19*N19/(1+Parametros!$B$20)^A19</f>
        <v/>
      </c>
      <c r="AA19" s="41">
        <f>IF(AND(M19=1,O19*(1-Parametros!$B$13)&gt;=N19),1,0)</f>
        <v/>
      </c>
    </row>
    <row r="20">
      <c r="A20" s="41" t="n">
        <v>2</v>
      </c>
      <c r="B20" s="41">
        <f>IF(A20&lt;=Parametros!$B$10,1,0)</f>
        <v/>
      </c>
      <c r="C20" s="42">
        <f>IF(AND(A20&gt;=1,A20&lt;=Parametros!$B$10),$B$4,0)</f>
        <v/>
      </c>
      <c r="D20" s="42">
        <f>IF(A20&lt;=Parametros!$B$10,Parametros!$B$7*((1+Parametros!$B$8)^Parametros!$B$10-(1+Parametros!$B$8)^A20)/((1+Parametros!$B$8)^Parametros!$B$10-1),0)</f>
        <v/>
      </c>
      <c r="E20" s="42">
        <f>IF(AND(A20&gt;=1,A20&lt;=Parametros!$B$10),Parametros!$B$21/12*D19,0)</f>
        <v/>
      </c>
      <c r="F20" s="42">
        <f>C20-E20</f>
        <v/>
      </c>
      <c r="G20" s="42">
        <f>F20/(1+Parametros!$B$20)^A20+G19</f>
        <v/>
      </c>
      <c r="H20" s="42">
        <f>IF(AND(A20&gt;=1,A20&lt;=Parametros!$B$10),$B$5,0)</f>
        <v/>
      </c>
      <c r="I20" s="42">
        <f>IF(A20&lt;=Parametros!$B$10,Parametros!$B$7*((1+Parametros!$B$27)^Parametros!$B$10-(1+Parametros!$B$27)^A20)/((1+Parametros!$B$27)^Parametros!$B$10-1),0)</f>
        <v/>
      </c>
      <c r="J20" s="42">
        <f>IF(AND(A20&gt;=1,A20&lt;=Parametros!$B$10),Parametros!$B$21/12*I19,0)</f>
        <v/>
      </c>
      <c r="K20" s="42">
        <f>H20-J20</f>
        <v/>
      </c>
      <c r="L20" s="42">
        <f>K20/(1+Parametros!$B$20)^A20+L19</f>
        <v/>
      </c>
      <c r="M20" s="41">
        <f>IF(AND(A20&gt;=4,A20&lt;=Parametros!$B$10+3),1,0)</f>
        <v/>
      </c>
      <c r="N20" s="42">
        <f>IF(M20=1,INDEX($D$18:$D$81,A20-3),0)</f>
        <v/>
      </c>
      <c r="O20" s="42">
        <f>IF(M20=1,Parametros!$B$5*(1-Parametros!$B$12)*(1-Parametros!$B$11)^((A20+Parametros!$B$14)/12),0)</f>
        <v/>
      </c>
      <c r="P20" s="42">
        <f>N20*(1+Parametros!$B$8)^(3+Parametros!$B$14)</f>
        <v/>
      </c>
      <c r="Q20" s="42">
        <f>MIN(O20*(1-Parametros!$B$13),P20)</f>
        <v/>
      </c>
      <c r="R20" s="43">
        <f>IF(M20=1,MAX(0,1-Q20/(1+Parametros!$B$20)^Parametros!$B$14/N20),0)</f>
        <v/>
      </c>
      <c r="S20" s="43">
        <f>IF(M20=1,Parametros!$B$15*R20+(1-Parametros!$B$15),0)</f>
        <v/>
      </c>
      <c r="T20" s="42">
        <f>IF(M20=1,-Parametros!$B$7-Parametros!$B$22+INDEX($G$18:$G$81,A20-3)+Parametros!$B$15*Q20/(1+Parametros!$B$20)^(A20+Parametros!$B$14),0)</f>
        <v/>
      </c>
      <c r="U20" s="42">
        <f>IF(M20=1,INDEX($I$18:$I$81,A20-3),0)</f>
        <v/>
      </c>
      <c r="V20" s="42">
        <f>IF(M20=1,-Parametros!$B$7-Parametros!$B$22+INDEX($L$18:$L$81,A20-3)+Parametros!$B$15*MIN(O20*(1-Parametros!$B$13),U20*(1+Parametros!$B$27)^(3+Parametros!$B$14))/(1+Parametros!$B$20)^(A20+Parametros!$B$14),0)</f>
        <v/>
      </c>
      <c r="W20" s="44">
        <f>IF(M20=1,((A20-3)/(Parametros!$B$16-3))*EXP(1-(A20-3)/(Parametros!$B$16-3)),0)</f>
        <v/>
      </c>
      <c r="X20" s="44">
        <f>W20+X19</f>
        <v/>
      </c>
      <c r="Y20" s="45">
        <f>W20/$B$9</f>
        <v/>
      </c>
      <c r="Z20" s="42">
        <f>S20*N20/(1+Parametros!$B$20)^A20</f>
        <v/>
      </c>
      <c r="AA20" s="41">
        <f>IF(AND(M20=1,O20*(1-Parametros!$B$13)&gt;=N20),1,0)</f>
        <v/>
      </c>
    </row>
    <row r="21">
      <c r="A21" s="41" t="n">
        <v>3</v>
      </c>
      <c r="B21" s="41">
        <f>IF(A21&lt;=Parametros!$B$10,1,0)</f>
        <v/>
      </c>
      <c r="C21" s="42">
        <f>IF(AND(A21&gt;=1,A21&lt;=Parametros!$B$10),$B$4,0)</f>
        <v/>
      </c>
      <c r="D21" s="42">
        <f>IF(A21&lt;=Parametros!$B$10,Parametros!$B$7*((1+Parametros!$B$8)^Parametros!$B$10-(1+Parametros!$B$8)^A21)/((1+Parametros!$B$8)^Parametros!$B$10-1),0)</f>
        <v/>
      </c>
      <c r="E21" s="42">
        <f>IF(AND(A21&gt;=1,A21&lt;=Parametros!$B$10),Parametros!$B$21/12*D20,0)</f>
        <v/>
      </c>
      <c r="F21" s="42">
        <f>C21-E21</f>
        <v/>
      </c>
      <c r="G21" s="42">
        <f>F21/(1+Parametros!$B$20)^A21+G20</f>
        <v/>
      </c>
      <c r="H21" s="42">
        <f>IF(AND(A21&gt;=1,A21&lt;=Parametros!$B$10),$B$5,0)</f>
        <v/>
      </c>
      <c r="I21" s="42">
        <f>IF(A21&lt;=Parametros!$B$10,Parametros!$B$7*((1+Parametros!$B$27)^Parametros!$B$10-(1+Parametros!$B$27)^A21)/((1+Parametros!$B$27)^Parametros!$B$10-1),0)</f>
        <v/>
      </c>
      <c r="J21" s="42">
        <f>IF(AND(A21&gt;=1,A21&lt;=Parametros!$B$10),Parametros!$B$21/12*I20,0)</f>
        <v/>
      </c>
      <c r="K21" s="42">
        <f>H21-J21</f>
        <v/>
      </c>
      <c r="L21" s="42">
        <f>K21/(1+Parametros!$B$20)^A21+L20</f>
        <v/>
      </c>
      <c r="M21" s="41">
        <f>IF(AND(A21&gt;=4,A21&lt;=Parametros!$B$10+3),1,0)</f>
        <v/>
      </c>
      <c r="N21" s="42">
        <f>IF(M21=1,INDEX($D$18:$D$81,A21-3),0)</f>
        <v/>
      </c>
      <c r="O21" s="42">
        <f>IF(M21=1,Parametros!$B$5*(1-Parametros!$B$12)*(1-Parametros!$B$11)^((A21+Parametros!$B$14)/12),0)</f>
        <v/>
      </c>
      <c r="P21" s="42">
        <f>N21*(1+Parametros!$B$8)^(3+Parametros!$B$14)</f>
        <v/>
      </c>
      <c r="Q21" s="42">
        <f>MIN(O21*(1-Parametros!$B$13),P21)</f>
        <v/>
      </c>
      <c r="R21" s="43">
        <f>IF(M21=1,MAX(0,1-Q21/(1+Parametros!$B$20)^Parametros!$B$14/N21),0)</f>
        <v/>
      </c>
      <c r="S21" s="43">
        <f>IF(M21=1,Parametros!$B$15*R21+(1-Parametros!$B$15),0)</f>
        <v/>
      </c>
      <c r="T21" s="42">
        <f>IF(M21=1,-Parametros!$B$7-Parametros!$B$22+INDEX($G$18:$G$81,A21-3)+Parametros!$B$15*Q21/(1+Parametros!$B$20)^(A21+Parametros!$B$14),0)</f>
        <v/>
      </c>
      <c r="U21" s="42">
        <f>IF(M21=1,INDEX($I$18:$I$81,A21-3),0)</f>
        <v/>
      </c>
      <c r="V21" s="42">
        <f>IF(M21=1,-Parametros!$B$7-Parametros!$B$22+INDEX($L$18:$L$81,A21-3)+Parametros!$B$15*MIN(O21*(1-Parametros!$B$13),U21*(1+Parametros!$B$27)^(3+Parametros!$B$14))/(1+Parametros!$B$20)^(A21+Parametros!$B$14),0)</f>
        <v/>
      </c>
      <c r="W21" s="44">
        <f>IF(M21=1,((A21-3)/(Parametros!$B$16-3))*EXP(1-(A21-3)/(Parametros!$B$16-3)),0)</f>
        <v/>
      </c>
      <c r="X21" s="44">
        <f>W21+X20</f>
        <v/>
      </c>
      <c r="Y21" s="45">
        <f>W21/$B$9</f>
        <v/>
      </c>
      <c r="Z21" s="42">
        <f>S21*N21/(1+Parametros!$B$20)^A21</f>
        <v/>
      </c>
      <c r="AA21" s="41">
        <f>IF(AND(M21=1,O21*(1-Parametros!$B$13)&gt;=N21),1,0)</f>
        <v/>
      </c>
    </row>
    <row r="22">
      <c r="A22" s="41" t="n">
        <v>4</v>
      </c>
      <c r="B22" s="41">
        <f>IF(A22&lt;=Parametros!$B$10,1,0)</f>
        <v/>
      </c>
      <c r="C22" s="42">
        <f>IF(AND(A22&gt;=1,A22&lt;=Parametros!$B$10),$B$4,0)</f>
        <v/>
      </c>
      <c r="D22" s="42">
        <f>IF(A22&lt;=Parametros!$B$10,Parametros!$B$7*((1+Parametros!$B$8)^Parametros!$B$10-(1+Parametros!$B$8)^A22)/((1+Parametros!$B$8)^Parametros!$B$10-1),0)</f>
        <v/>
      </c>
      <c r="E22" s="42">
        <f>IF(AND(A22&gt;=1,A22&lt;=Parametros!$B$10),Parametros!$B$21/12*D21,0)</f>
        <v/>
      </c>
      <c r="F22" s="42">
        <f>C22-E22</f>
        <v/>
      </c>
      <c r="G22" s="42">
        <f>F22/(1+Parametros!$B$20)^A22+G21</f>
        <v/>
      </c>
      <c r="H22" s="42">
        <f>IF(AND(A22&gt;=1,A22&lt;=Parametros!$B$10),$B$5,0)</f>
        <v/>
      </c>
      <c r="I22" s="42">
        <f>IF(A22&lt;=Parametros!$B$10,Parametros!$B$7*((1+Parametros!$B$27)^Parametros!$B$10-(1+Parametros!$B$27)^A22)/((1+Parametros!$B$27)^Parametros!$B$10-1),0)</f>
        <v/>
      </c>
      <c r="J22" s="42">
        <f>IF(AND(A22&gt;=1,A22&lt;=Parametros!$B$10),Parametros!$B$21/12*I21,0)</f>
        <v/>
      </c>
      <c r="K22" s="42">
        <f>H22-J22</f>
        <v/>
      </c>
      <c r="L22" s="42">
        <f>K22/(1+Parametros!$B$20)^A22+L21</f>
        <v/>
      </c>
      <c r="M22" s="41">
        <f>IF(AND(A22&gt;=4,A22&lt;=Parametros!$B$10+3),1,0)</f>
        <v/>
      </c>
      <c r="N22" s="42">
        <f>IF(M22=1,INDEX($D$18:$D$81,A22-3),0)</f>
        <v/>
      </c>
      <c r="O22" s="42">
        <f>IF(M22=1,Parametros!$B$5*(1-Parametros!$B$12)*(1-Parametros!$B$11)^((A22+Parametros!$B$14)/12),0)</f>
        <v/>
      </c>
      <c r="P22" s="42">
        <f>N22*(1+Parametros!$B$8)^(3+Parametros!$B$14)</f>
        <v/>
      </c>
      <c r="Q22" s="42">
        <f>MIN(O22*(1-Parametros!$B$13),P22)</f>
        <v/>
      </c>
      <c r="R22" s="43">
        <f>IF(M22=1,MAX(0,1-Q22/(1+Parametros!$B$20)^Parametros!$B$14/N22),0)</f>
        <v/>
      </c>
      <c r="S22" s="43">
        <f>IF(M22=1,Parametros!$B$15*R22+(1-Parametros!$B$15),0)</f>
        <v/>
      </c>
      <c r="T22" s="42">
        <f>IF(M22=1,-Parametros!$B$7-Parametros!$B$22+INDEX($G$18:$G$81,A22-3)+Parametros!$B$15*Q22/(1+Parametros!$B$20)^(A22+Parametros!$B$14),0)</f>
        <v/>
      </c>
      <c r="U22" s="42">
        <f>IF(M22=1,INDEX($I$18:$I$81,A22-3),0)</f>
        <v/>
      </c>
      <c r="V22" s="42">
        <f>IF(M22=1,-Parametros!$B$7-Parametros!$B$22+INDEX($L$18:$L$81,A22-3)+Parametros!$B$15*MIN(O22*(1-Parametros!$B$13),U22*(1+Parametros!$B$27)^(3+Parametros!$B$14))/(1+Parametros!$B$20)^(A22+Parametros!$B$14),0)</f>
        <v/>
      </c>
      <c r="W22" s="44">
        <f>IF(M22=1,((A22-3)/(Parametros!$B$16-3))*EXP(1-(A22-3)/(Parametros!$B$16-3)),0)</f>
        <v/>
      </c>
      <c r="X22" s="44">
        <f>W22+X21</f>
        <v/>
      </c>
      <c r="Y22" s="45">
        <f>W22/$B$9</f>
        <v/>
      </c>
      <c r="Z22" s="42">
        <f>S22*N22/(1+Parametros!$B$20)^A22</f>
        <v/>
      </c>
      <c r="AA22" s="41">
        <f>IF(AND(M22=1,O22*(1-Parametros!$B$13)&gt;=N22),1,0)</f>
        <v/>
      </c>
    </row>
    <row r="23">
      <c r="A23" s="41" t="n">
        <v>5</v>
      </c>
      <c r="B23" s="41">
        <f>IF(A23&lt;=Parametros!$B$10,1,0)</f>
        <v/>
      </c>
      <c r="C23" s="42">
        <f>IF(AND(A23&gt;=1,A23&lt;=Parametros!$B$10),$B$4,0)</f>
        <v/>
      </c>
      <c r="D23" s="42">
        <f>IF(A23&lt;=Parametros!$B$10,Parametros!$B$7*((1+Parametros!$B$8)^Parametros!$B$10-(1+Parametros!$B$8)^A23)/((1+Parametros!$B$8)^Parametros!$B$10-1),0)</f>
        <v/>
      </c>
      <c r="E23" s="42">
        <f>IF(AND(A23&gt;=1,A23&lt;=Parametros!$B$10),Parametros!$B$21/12*D22,0)</f>
        <v/>
      </c>
      <c r="F23" s="42">
        <f>C23-E23</f>
        <v/>
      </c>
      <c r="G23" s="42">
        <f>F23/(1+Parametros!$B$20)^A23+G22</f>
        <v/>
      </c>
      <c r="H23" s="42">
        <f>IF(AND(A23&gt;=1,A23&lt;=Parametros!$B$10),$B$5,0)</f>
        <v/>
      </c>
      <c r="I23" s="42">
        <f>IF(A23&lt;=Parametros!$B$10,Parametros!$B$7*((1+Parametros!$B$27)^Parametros!$B$10-(1+Parametros!$B$27)^A23)/((1+Parametros!$B$27)^Parametros!$B$10-1),0)</f>
        <v/>
      </c>
      <c r="J23" s="42">
        <f>IF(AND(A23&gt;=1,A23&lt;=Parametros!$B$10),Parametros!$B$21/12*I22,0)</f>
        <v/>
      </c>
      <c r="K23" s="42">
        <f>H23-J23</f>
        <v/>
      </c>
      <c r="L23" s="42">
        <f>K23/(1+Parametros!$B$20)^A23+L22</f>
        <v/>
      </c>
      <c r="M23" s="41">
        <f>IF(AND(A23&gt;=4,A23&lt;=Parametros!$B$10+3),1,0)</f>
        <v/>
      </c>
      <c r="N23" s="42">
        <f>IF(M23=1,INDEX($D$18:$D$81,A23-3),0)</f>
        <v/>
      </c>
      <c r="O23" s="42">
        <f>IF(M23=1,Parametros!$B$5*(1-Parametros!$B$12)*(1-Parametros!$B$11)^((A23+Parametros!$B$14)/12),0)</f>
        <v/>
      </c>
      <c r="P23" s="42">
        <f>N23*(1+Parametros!$B$8)^(3+Parametros!$B$14)</f>
        <v/>
      </c>
      <c r="Q23" s="42">
        <f>MIN(O23*(1-Parametros!$B$13),P23)</f>
        <v/>
      </c>
      <c r="R23" s="43">
        <f>IF(M23=1,MAX(0,1-Q23/(1+Parametros!$B$20)^Parametros!$B$14/N23),0)</f>
        <v/>
      </c>
      <c r="S23" s="43">
        <f>IF(M23=1,Parametros!$B$15*R23+(1-Parametros!$B$15),0)</f>
        <v/>
      </c>
      <c r="T23" s="42">
        <f>IF(M23=1,-Parametros!$B$7-Parametros!$B$22+INDEX($G$18:$G$81,A23-3)+Parametros!$B$15*Q23/(1+Parametros!$B$20)^(A23+Parametros!$B$14),0)</f>
        <v/>
      </c>
      <c r="U23" s="42">
        <f>IF(M23=1,INDEX($I$18:$I$81,A23-3),0)</f>
        <v/>
      </c>
      <c r="V23" s="42">
        <f>IF(M23=1,-Parametros!$B$7-Parametros!$B$22+INDEX($L$18:$L$81,A23-3)+Parametros!$B$15*MIN(O23*(1-Parametros!$B$13),U23*(1+Parametros!$B$27)^(3+Parametros!$B$14))/(1+Parametros!$B$20)^(A23+Parametros!$B$14),0)</f>
        <v/>
      </c>
      <c r="W23" s="44">
        <f>IF(M23=1,((A23-3)/(Parametros!$B$16-3))*EXP(1-(A23-3)/(Parametros!$B$16-3)),0)</f>
        <v/>
      </c>
      <c r="X23" s="44">
        <f>W23+X22</f>
        <v/>
      </c>
      <c r="Y23" s="45">
        <f>W23/$B$9</f>
        <v/>
      </c>
      <c r="Z23" s="42">
        <f>S23*N23/(1+Parametros!$B$20)^A23</f>
        <v/>
      </c>
      <c r="AA23" s="41">
        <f>IF(AND(M23=1,O23*(1-Parametros!$B$13)&gt;=N23),1,0)</f>
        <v/>
      </c>
    </row>
    <row r="24">
      <c r="A24" s="41" t="n">
        <v>6</v>
      </c>
      <c r="B24" s="41">
        <f>IF(A24&lt;=Parametros!$B$10,1,0)</f>
        <v/>
      </c>
      <c r="C24" s="42">
        <f>IF(AND(A24&gt;=1,A24&lt;=Parametros!$B$10),$B$4,0)</f>
        <v/>
      </c>
      <c r="D24" s="42">
        <f>IF(A24&lt;=Parametros!$B$10,Parametros!$B$7*((1+Parametros!$B$8)^Parametros!$B$10-(1+Parametros!$B$8)^A24)/((1+Parametros!$B$8)^Parametros!$B$10-1),0)</f>
        <v/>
      </c>
      <c r="E24" s="42">
        <f>IF(AND(A24&gt;=1,A24&lt;=Parametros!$B$10),Parametros!$B$21/12*D23,0)</f>
        <v/>
      </c>
      <c r="F24" s="42">
        <f>C24-E24</f>
        <v/>
      </c>
      <c r="G24" s="42">
        <f>F24/(1+Parametros!$B$20)^A24+G23</f>
        <v/>
      </c>
      <c r="H24" s="42">
        <f>IF(AND(A24&gt;=1,A24&lt;=Parametros!$B$10),$B$5,0)</f>
        <v/>
      </c>
      <c r="I24" s="42">
        <f>IF(A24&lt;=Parametros!$B$10,Parametros!$B$7*((1+Parametros!$B$27)^Parametros!$B$10-(1+Parametros!$B$27)^A24)/((1+Parametros!$B$27)^Parametros!$B$10-1),0)</f>
        <v/>
      </c>
      <c r="J24" s="42">
        <f>IF(AND(A24&gt;=1,A24&lt;=Parametros!$B$10),Parametros!$B$21/12*I23,0)</f>
        <v/>
      </c>
      <c r="K24" s="42">
        <f>H24-J24</f>
        <v/>
      </c>
      <c r="L24" s="42">
        <f>K24/(1+Parametros!$B$20)^A24+L23</f>
        <v/>
      </c>
      <c r="M24" s="41">
        <f>IF(AND(A24&gt;=4,A24&lt;=Parametros!$B$10+3),1,0)</f>
        <v/>
      </c>
      <c r="N24" s="42">
        <f>IF(M24=1,INDEX($D$18:$D$81,A24-3),0)</f>
        <v/>
      </c>
      <c r="O24" s="42">
        <f>IF(M24=1,Parametros!$B$5*(1-Parametros!$B$12)*(1-Parametros!$B$11)^((A24+Parametros!$B$14)/12),0)</f>
        <v/>
      </c>
      <c r="P24" s="42">
        <f>N24*(1+Parametros!$B$8)^(3+Parametros!$B$14)</f>
        <v/>
      </c>
      <c r="Q24" s="42">
        <f>MIN(O24*(1-Parametros!$B$13),P24)</f>
        <v/>
      </c>
      <c r="R24" s="43">
        <f>IF(M24=1,MAX(0,1-Q24/(1+Parametros!$B$20)^Parametros!$B$14/N24),0)</f>
        <v/>
      </c>
      <c r="S24" s="43">
        <f>IF(M24=1,Parametros!$B$15*R24+(1-Parametros!$B$15),0)</f>
        <v/>
      </c>
      <c r="T24" s="42">
        <f>IF(M24=1,-Parametros!$B$7-Parametros!$B$22+INDEX($G$18:$G$81,A24-3)+Parametros!$B$15*Q24/(1+Parametros!$B$20)^(A24+Parametros!$B$14),0)</f>
        <v/>
      </c>
      <c r="U24" s="42">
        <f>IF(M24=1,INDEX($I$18:$I$81,A24-3),0)</f>
        <v/>
      </c>
      <c r="V24" s="42">
        <f>IF(M24=1,-Parametros!$B$7-Parametros!$B$22+INDEX($L$18:$L$81,A24-3)+Parametros!$B$15*MIN(O24*(1-Parametros!$B$13),U24*(1+Parametros!$B$27)^(3+Parametros!$B$14))/(1+Parametros!$B$20)^(A24+Parametros!$B$14),0)</f>
        <v/>
      </c>
      <c r="W24" s="44">
        <f>IF(M24=1,((A24-3)/(Parametros!$B$16-3))*EXP(1-(A24-3)/(Parametros!$B$16-3)),0)</f>
        <v/>
      </c>
      <c r="X24" s="44">
        <f>W24+X23</f>
        <v/>
      </c>
      <c r="Y24" s="45">
        <f>W24/$B$9</f>
        <v/>
      </c>
      <c r="Z24" s="42">
        <f>S24*N24/(1+Parametros!$B$20)^A24</f>
        <v/>
      </c>
      <c r="AA24" s="41">
        <f>IF(AND(M24=1,O24*(1-Parametros!$B$13)&gt;=N24),1,0)</f>
        <v/>
      </c>
    </row>
    <row r="25">
      <c r="A25" s="41" t="n">
        <v>7</v>
      </c>
      <c r="B25" s="41">
        <f>IF(A25&lt;=Parametros!$B$10,1,0)</f>
        <v/>
      </c>
      <c r="C25" s="42">
        <f>IF(AND(A25&gt;=1,A25&lt;=Parametros!$B$10),$B$4,0)</f>
        <v/>
      </c>
      <c r="D25" s="42">
        <f>IF(A25&lt;=Parametros!$B$10,Parametros!$B$7*((1+Parametros!$B$8)^Parametros!$B$10-(1+Parametros!$B$8)^A25)/((1+Parametros!$B$8)^Parametros!$B$10-1),0)</f>
        <v/>
      </c>
      <c r="E25" s="42">
        <f>IF(AND(A25&gt;=1,A25&lt;=Parametros!$B$10),Parametros!$B$21/12*D24,0)</f>
        <v/>
      </c>
      <c r="F25" s="42">
        <f>C25-E25</f>
        <v/>
      </c>
      <c r="G25" s="42">
        <f>F25/(1+Parametros!$B$20)^A25+G24</f>
        <v/>
      </c>
      <c r="H25" s="42">
        <f>IF(AND(A25&gt;=1,A25&lt;=Parametros!$B$10),$B$5,0)</f>
        <v/>
      </c>
      <c r="I25" s="42">
        <f>IF(A25&lt;=Parametros!$B$10,Parametros!$B$7*((1+Parametros!$B$27)^Parametros!$B$10-(1+Parametros!$B$27)^A25)/((1+Parametros!$B$27)^Parametros!$B$10-1),0)</f>
        <v/>
      </c>
      <c r="J25" s="42">
        <f>IF(AND(A25&gt;=1,A25&lt;=Parametros!$B$10),Parametros!$B$21/12*I24,0)</f>
        <v/>
      </c>
      <c r="K25" s="42">
        <f>H25-J25</f>
        <v/>
      </c>
      <c r="L25" s="42">
        <f>K25/(1+Parametros!$B$20)^A25+L24</f>
        <v/>
      </c>
      <c r="M25" s="41">
        <f>IF(AND(A25&gt;=4,A25&lt;=Parametros!$B$10+3),1,0)</f>
        <v/>
      </c>
      <c r="N25" s="42">
        <f>IF(M25=1,INDEX($D$18:$D$81,A25-3),0)</f>
        <v/>
      </c>
      <c r="O25" s="42">
        <f>IF(M25=1,Parametros!$B$5*(1-Parametros!$B$12)*(1-Parametros!$B$11)^((A25+Parametros!$B$14)/12),0)</f>
        <v/>
      </c>
      <c r="P25" s="42">
        <f>N25*(1+Parametros!$B$8)^(3+Parametros!$B$14)</f>
        <v/>
      </c>
      <c r="Q25" s="42">
        <f>MIN(O25*(1-Parametros!$B$13),P25)</f>
        <v/>
      </c>
      <c r="R25" s="43">
        <f>IF(M25=1,MAX(0,1-Q25/(1+Parametros!$B$20)^Parametros!$B$14/N25),0)</f>
        <v/>
      </c>
      <c r="S25" s="43">
        <f>IF(M25=1,Parametros!$B$15*R25+(1-Parametros!$B$15),0)</f>
        <v/>
      </c>
      <c r="T25" s="42">
        <f>IF(M25=1,-Parametros!$B$7-Parametros!$B$22+INDEX($G$18:$G$81,A25-3)+Parametros!$B$15*Q25/(1+Parametros!$B$20)^(A25+Parametros!$B$14),0)</f>
        <v/>
      </c>
      <c r="U25" s="42">
        <f>IF(M25=1,INDEX($I$18:$I$81,A25-3),0)</f>
        <v/>
      </c>
      <c r="V25" s="42">
        <f>IF(M25=1,-Parametros!$B$7-Parametros!$B$22+INDEX($L$18:$L$81,A25-3)+Parametros!$B$15*MIN(O25*(1-Parametros!$B$13),U25*(1+Parametros!$B$27)^(3+Parametros!$B$14))/(1+Parametros!$B$20)^(A25+Parametros!$B$14),0)</f>
        <v/>
      </c>
      <c r="W25" s="44">
        <f>IF(M25=1,((A25-3)/(Parametros!$B$16-3))*EXP(1-(A25-3)/(Parametros!$B$16-3)),0)</f>
        <v/>
      </c>
      <c r="X25" s="44">
        <f>W25+X24</f>
        <v/>
      </c>
      <c r="Y25" s="45">
        <f>W25/$B$9</f>
        <v/>
      </c>
      <c r="Z25" s="42">
        <f>S25*N25/(1+Parametros!$B$20)^A25</f>
        <v/>
      </c>
      <c r="AA25" s="41">
        <f>IF(AND(M25=1,O25*(1-Parametros!$B$13)&gt;=N25),1,0)</f>
        <v/>
      </c>
    </row>
    <row r="26">
      <c r="A26" s="41" t="n">
        <v>8</v>
      </c>
      <c r="B26" s="41">
        <f>IF(A26&lt;=Parametros!$B$10,1,0)</f>
        <v/>
      </c>
      <c r="C26" s="42">
        <f>IF(AND(A26&gt;=1,A26&lt;=Parametros!$B$10),$B$4,0)</f>
        <v/>
      </c>
      <c r="D26" s="42">
        <f>IF(A26&lt;=Parametros!$B$10,Parametros!$B$7*((1+Parametros!$B$8)^Parametros!$B$10-(1+Parametros!$B$8)^A26)/((1+Parametros!$B$8)^Parametros!$B$10-1),0)</f>
        <v/>
      </c>
      <c r="E26" s="42">
        <f>IF(AND(A26&gt;=1,A26&lt;=Parametros!$B$10),Parametros!$B$21/12*D25,0)</f>
        <v/>
      </c>
      <c r="F26" s="42">
        <f>C26-E26</f>
        <v/>
      </c>
      <c r="G26" s="42">
        <f>F26/(1+Parametros!$B$20)^A26+G25</f>
        <v/>
      </c>
      <c r="H26" s="42">
        <f>IF(AND(A26&gt;=1,A26&lt;=Parametros!$B$10),$B$5,0)</f>
        <v/>
      </c>
      <c r="I26" s="42">
        <f>IF(A26&lt;=Parametros!$B$10,Parametros!$B$7*((1+Parametros!$B$27)^Parametros!$B$10-(1+Parametros!$B$27)^A26)/((1+Parametros!$B$27)^Parametros!$B$10-1),0)</f>
        <v/>
      </c>
      <c r="J26" s="42">
        <f>IF(AND(A26&gt;=1,A26&lt;=Parametros!$B$10),Parametros!$B$21/12*I25,0)</f>
        <v/>
      </c>
      <c r="K26" s="42">
        <f>H26-J26</f>
        <v/>
      </c>
      <c r="L26" s="42">
        <f>K26/(1+Parametros!$B$20)^A26+L25</f>
        <v/>
      </c>
      <c r="M26" s="41">
        <f>IF(AND(A26&gt;=4,A26&lt;=Parametros!$B$10+3),1,0)</f>
        <v/>
      </c>
      <c r="N26" s="42">
        <f>IF(M26=1,INDEX($D$18:$D$81,A26-3),0)</f>
        <v/>
      </c>
      <c r="O26" s="42">
        <f>IF(M26=1,Parametros!$B$5*(1-Parametros!$B$12)*(1-Parametros!$B$11)^((A26+Parametros!$B$14)/12),0)</f>
        <v/>
      </c>
      <c r="P26" s="42">
        <f>N26*(1+Parametros!$B$8)^(3+Parametros!$B$14)</f>
        <v/>
      </c>
      <c r="Q26" s="42">
        <f>MIN(O26*(1-Parametros!$B$13),P26)</f>
        <v/>
      </c>
      <c r="R26" s="43">
        <f>IF(M26=1,MAX(0,1-Q26/(1+Parametros!$B$20)^Parametros!$B$14/N26),0)</f>
        <v/>
      </c>
      <c r="S26" s="43">
        <f>IF(M26=1,Parametros!$B$15*R26+(1-Parametros!$B$15),0)</f>
        <v/>
      </c>
      <c r="T26" s="42">
        <f>IF(M26=1,-Parametros!$B$7-Parametros!$B$22+INDEX($G$18:$G$81,A26-3)+Parametros!$B$15*Q26/(1+Parametros!$B$20)^(A26+Parametros!$B$14),0)</f>
        <v/>
      </c>
      <c r="U26" s="42">
        <f>IF(M26=1,INDEX($I$18:$I$81,A26-3),0)</f>
        <v/>
      </c>
      <c r="V26" s="42">
        <f>IF(M26=1,-Parametros!$B$7-Parametros!$B$22+INDEX($L$18:$L$81,A26-3)+Parametros!$B$15*MIN(O26*(1-Parametros!$B$13),U26*(1+Parametros!$B$27)^(3+Parametros!$B$14))/(1+Parametros!$B$20)^(A26+Parametros!$B$14),0)</f>
        <v/>
      </c>
      <c r="W26" s="44">
        <f>IF(M26=1,((A26-3)/(Parametros!$B$16-3))*EXP(1-(A26-3)/(Parametros!$B$16-3)),0)</f>
        <v/>
      </c>
      <c r="X26" s="44">
        <f>W26+X25</f>
        <v/>
      </c>
      <c r="Y26" s="45">
        <f>W26/$B$9</f>
        <v/>
      </c>
      <c r="Z26" s="42">
        <f>S26*N26/(1+Parametros!$B$20)^A26</f>
        <v/>
      </c>
      <c r="AA26" s="41">
        <f>IF(AND(M26=1,O26*(1-Parametros!$B$13)&gt;=N26),1,0)</f>
        <v/>
      </c>
    </row>
    <row r="27">
      <c r="A27" s="41" t="n">
        <v>9</v>
      </c>
      <c r="B27" s="41">
        <f>IF(A27&lt;=Parametros!$B$10,1,0)</f>
        <v/>
      </c>
      <c r="C27" s="42">
        <f>IF(AND(A27&gt;=1,A27&lt;=Parametros!$B$10),$B$4,0)</f>
        <v/>
      </c>
      <c r="D27" s="42">
        <f>IF(A27&lt;=Parametros!$B$10,Parametros!$B$7*((1+Parametros!$B$8)^Parametros!$B$10-(1+Parametros!$B$8)^A27)/((1+Parametros!$B$8)^Parametros!$B$10-1),0)</f>
        <v/>
      </c>
      <c r="E27" s="42">
        <f>IF(AND(A27&gt;=1,A27&lt;=Parametros!$B$10),Parametros!$B$21/12*D26,0)</f>
        <v/>
      </c>
      <c r="F27" s="42">
        <f>C27-E27</f>
        <v/>
      </c>
      <c r="G27" s="42">
        <f>F27/(1+Parametros!$B$20)^A27+G26</f>
        <v/>
      </c>
      <c r="H27" s="42">
        <f>IF(AND(A27&gt;=1,A27&lt;=Parametros!$B$10),$B$5,0)</f>
        <v/>
      </c>
      <c r="I27" s="42">
        <f>IF(A27&lt;=Parametros!$B$10,Parametros!$B$7*((1+Parametros!$B$27)^Parametros!$B$10-(1+Parametros!$B$27)^A27)/((1+Parametros!$B$27)^Parametros!$B$10-1),0)</f>
        <v/>
      </c>
      <c r="J27" s="42">
        <f>IF(AND(A27&gt;=1,A27&lt;=Parametros!$B$10),Parametros!$B$21/12*I26,0)</f>
        <v/>
      </c>
      <c r="K27" s="42">
        <f>H27-J27</f>
        <v/>
      </c>
      <c r="L27" s="42">
        <f>K27/(1+Parametros!$B$20)^A27+L26</f>
        <v/>
      </c>
      <c r="M27" s="41">
        <f>IF(AND(A27&gt;=4,A27&lt;=Parametros!$B$10+3),1,0)</f>
        <v/>
      </c>
      <c r="N27" s="42">
        <f>IF(M27=1,INDEX($D$18:$D$81,A27-3),0)</f>
        <v/>
      </c>
      <c r="O27" s="42">
        <f>IF(M27=1,Parametros!$B$5*(1-Parametros!$B$12)*(1-Parametros!$B$11)^((A27+Parametros!$B$14)/12),0)</f>
        <v/>
      </c>
      <c r="P27" s="42">
        <f>N27*(1+Parametros!$B$8)^(3+Parametros!$B$14)</f>
        <v/>
      </c>
      <c r="Q27" s="42">
        <f>MIN(O27*(1-Parametros!$B$13),P27)</f>
        <v/>
      </c>
      <c r="R27" s="43">
        <f>IF(M27=1,MAX(0,1-Q27/(1+Parametros!$B$20)^Parametros!$B$14/N27),0)</f>
        <v/>
      </c>
      <c r="S27" s="43">
        <f>IF(M27=1,Parametros!$B$15*R27+(1-Parametros!$B$15),0)</f>
        <v/>
      </c>
      <c r="T27" s="42">
        <f>IF(M27=1,-Parametros!$B$7-Parametros!$B$22+INDEX($G$18:$G$81,A27-3)+Parametros!$B$15*Q27/(1+Parametros!$B$20)^(A27+Parametros!$B$14),0)</f>
        <v/>
      </c>
      <c r="U27" s="42">
        <f>IF(M27=1,INDEX($I$18:$I$81,A27-3),0)</f>
        <v/>
      </c>
      <c r="V27" s="42">
        <f>IF(M27=1,-Parametros!$B$7-Parametros!$B$22+INDEX($L$18:$L$81,A27-3)+Parametros!$B$15*MIN(O27*(1-Parametros!$B$13),U27*(1+Parametros!$B$27)^(3+Parametros!$B$14))/(1+Parametros!$B$20)^(A27+Parametros!$B$14),0)</f>
        <v/>
      </c>
      <c r="W27" s="44">
        <f>IF(M27=1,((A27-3)/(Parametros!$B$16-3))*EXP(1-(A27-3)/(Parametros!$B$16-3)),0)</f>
        <v/>
      </c>
      <c r="X27" s="44">
        <f>W27+X26</f>
        <v/>
      </c>
      <c r="Y27" s="45">
        <f>W27/$B$9</f>
        <v/>
      </c>
      <c r="Z27" s="42">
        <f>S27*N27/(1+Parametros!$B$20)^A27</f>
        <v/>
      </c>
      <c r="AA27" s="41">
        <f>IF(AND(M27=1,O27*(1-Parametros!$B$13)&gt;=N27),1,0)</f>
        <v/>
      </c>
    </row>
    <row r="28">
      <c r="A28" s="41" t="n">
        <v>10</v>
      </c>
      <c r="B28" s="41">
        <f>IF(A28&lt;=Parametros!$B$10,1,0)</f>
        <v/>
      </c>
      <c r="C28" s="42">
        <f>IF(AND(A28&gt;=1,A28&lt;=Parametros!$B$10),$B$4,0)</f>
        <v/>
      </c>
      <c r="D28" s="42">
        <f>IF(A28&lt;=Parametros!$B$10,Parametros!$B$7*((1+Parametros!$B$8)^Parametros!$B$10-(1+Parametros!$B$8)^A28)/((1+Parametros!$B$8)^Parametros!$B$10-1),0)</f>
        <v/>
      </c>
      <c r="E28" s="42">
        <f>IF(AND(A28&gt;=1,A28&lt;=Parametros!$B$10),Parametros!$B$21/12*D27,0)</f>
        <v/>
      </c>
      <c r="F28" s="42">
        <f>C28-E28</f>
        <v/>
      </c>
      <c r="G28" s="42">
        <f>F28/(1+Parametros!$B$20)^A28+G27</f>
        <v/>
      </c>
      <c r="H28" s="42">
        <f>IF(AND(A28&gt;=1,A28&lt;=Parametros!$B$10),$B$5,0)</f>
        <v/>
      </c>
      <c r="I28" s="42">
        <f>IF(A28&lt;=Parametros!$B$10,Parametros!$B$7*((1+Parametros!$B$27)^Parametros!$B$10-(1+Parametros!$B$27)^A28)/((1+Parametros!$B$27)^Parametros!$B$10-1),0)</f>
        <v/>
      </c>
      <c r="J28" s="42">
        <f>IF(AND(A28&gt;=1,A28&lt;=Parametros!$B$10),Parametros!$B$21/12*I27,0)</f>
        <v/>
      </c>
      <c r="K28" s="42">
        <f>H28-J28</f>
        <v/>
      </c>
      <c r="L28" s="42">
        <f>K28/(1+Parametros!$B$20)^A28+L27</f>
        <v/>
      </c>
      <c r="M28" s="41">
        <f>IF(AND(A28&gt;=4,A28&lt;=Parametros!$B$10+3),1,0)</f>
        <v/>
      </c>
      <c r="N28" s="42">
        <f>IF(M28=1,INDEX($D$18:$D$81,A28-3),0)</f>
        <v/>
      </c>
      <c r="O28" s="42">
        <f>IF(M28=1,Parametros!$B$5*(1-Parametros!$B$12)*(1-Parametros!$B$11)^((A28+Parametros!$B$14)/12),0)</f>
        <v/>
      </c>
      <c r="P28" s="42">
        <f>N28*(1+Parametros!$B$8)^(3+Parametros!$B$14)</f>
        <v/>
      </c>
      <c r="Q28" s="42">
        <f>MIN(O28*(1-Parametros!$B$13),P28)</f>
        <v/>
      </c>
      <c r="R28" s="43">
        <f>IF(M28=1,MAX(0,1-Q28/(1+Parametros!$B$20)^Parametros!$B$14/N28),0)</f>
        <v/>
      </c>
      <c r="S28" s="43">
        <f>IF(M28=1,Parametros!$B$15*R28+(1-Parametros!$B$15),0)</f>
        <v/>
      </c>
      <c r="T28" s="42">
        <f>IF(M28=1,-Parametros!$B$7-Parametros!$B$22+INDEX($G$18:$G$81,A28-3)+Parametros!$B$15*Q28/(1+Parametros!$B$20)^(A28+Parametros!$B$14),0)</f>
        <v/>
      </c>
      <c r="U28" s="42">
        <f>IF(M28=1,INDEX($I$18:$I$81,A28-3),0)</f>
        <v/>
      </c>
      <c r="V28" s="42">
        <f>IF(M28=1,-Parametros!$B$7-Parametros!$B$22+INDEX($L$18:$L$81,A28-3)+Parametros!$B$15*MIN(O28*(1-Parametros!$B$13),U28*(1+Parametros!$B$27)^(3+Parametros!$B$14))/(1+Parametros!$B$20)^(A28+Parametros!$B$14),0)</f>
        <v/>
      </c>
      <c r="W28" s="44">
        <f>IF(M28=1,((A28-3)/(Parametros!$B$16-3))*EXP(1-(A28-3)/(Parametros!$B$16-3)),0)</f>
        <v/>
      </c>
      <c r="X28" s="44">
        <f>W28+X27</f>
        <v/>
      </c>
      <c r="Y28" s="45">
        <f>W28/$B$9</f>
        <v/>
      </c>
      <c r="Z28" s="42">
        <f>S28*N28/(1+Parametros!$B$20)^A28</f>
        <v/>
      </c>
      <c r="AA28" s="41">
        <f>IF(AND(M28=1,O28*(1-Parametros!$B$13)&gt;=N28),1,0)</f>
        <v/>
      </c>
    </row>
    <row r="29">
      <c r="A29" s="41" t="n">
        <v>11</v>
      </c>
      <c r="B29" s="41">
        <f>IF(A29&lt;=Parametros!$B$10,1,0)</f>
        <v/>
      </c>
      <c r="C29" s="42">
        <f>IF(AND(A29&gt;=1,A29&lt;=Parametros!$B$10),$B$4,0)</f>
        <v/>
      </c>
      <c r="D29" s="42">
        <f>IF(A29&lt;=Parametros!$B$10,Parametros!$B$7*((1+Parametros!$B$8)^Parametros!$B$10-(1+Parametros!$B$8)^A29)/((1+Parametros!$B$8)^Parametros!$B$10-1),0)</f>
        <v/>
      </c>
      <c r="E29" s="42">
        <f>IF(AND(A29&gt;=1,A29&lt;=Parametros!$B$10),Parametros!$B$21/12*D28,0)</f>
        <v/>
      </c>
      <c r="F29" s="42">
        <f>C29-E29</f>
        <v/>
      </c>
      <c r="G29" s="42">
        <f>F29/(1+Parametros!$B$20)^A29+G28</f>
        <v/>
      </c>
      <c r="H29" s="42">
        <f>IF(AND(A29&gt;=1,A29&lt;=Parametros!$B$10),$B$5,0)</f>
        <v/>
      </c>
      <c r="I29" s="42">
        <f>IF(A29&lt;=Parametros!$B$10,Parametros!$B$7*((1+Parametros!$B$27)^Parametros!$B$10-(1+Parametros!$B$27)^A29)/((1+Parametros!$B$27)^Parametros!$B$10-1),0)</f>
        <v/>
      </c>
      <c r="J29" s="42">
        <f>IF(AND(A29&gt;=1,A29&lt;=Parametros!$B$10),Parametros!$B$21/12*I28,0)</f>
        <v/>
      </c>
      <c r="K29" s="42">
        <f>H29-J29</f>
        <v/>
      </c>
      <c r="L29" s="42">
        <f>K29/(1+Parametros!$B$20)^A29+L28</f>
        <v/>
      </c>
      <c r="M29" s="41">
        <f>IF(AND(A29&gt;=4,A29&lt;=Parametros!$B$10+3),1,0)</f>
        <v/>
      </c>
      <c r="N29" s="42">
        <f>IF(M29=1,INDEX($D$18:$D$81,A29-3),0)</f>
        <v/>
      </c>
      <c r="O29" s="42">
        <f>IF(M29=1,Parametros!$B$5*(1-Parametros!$B$12)*(1-Parametros!$B$11)^((A29+Parametros!$B$14)/12),0)</f>
        <v/>
      </c>
      <c r="P29" s="42">
        <f>N29*(1+Parametros!$B$8)^(3+Parametros!$B$14)</f>
        <v/>
      </c>
      <c r="Q29" s="42">
        <f>MIN(O29*(1-Parametros!$B$13),P29)</f>
        <v/>
      </c>
      <c r="R29" s="43">
        <f>IF(M29=1,MAX(0,1-Q29/(1+Parametros!$B$20)^Parametros!$B$14/N29),0)</f>
        <v/>
      </c>
      <c r="S29" s="43">
        <f>IF(M29=1,Parametros!$B$15*R29+(1-Parametros!$B$15),0)</f>
        <v/>
      </c>
      <c r="T29" s="42">
        <f>IF(M29=1,-Parametros!$B$7-Parametros!$B$22+INDEX($G$18:$G$81,A29-3)+Parametros!$B$15*Q29/(1+Parametros!$B$20)^(A29+Parametros!$B$14),0)</f>
        <v/>
      </c>
      <c r="U29" s="42">
        <f>IF(M29=1,INDEX($I$18:$I$81,A29-3),0)</f>
        <v/>
      </c>
      <c r="V29" s="42">
        <f>IF(M29=1,-Parametros!$B$7-Parametros!$B$22+INDEX($L$18:$L$81,A29-3)+Parametros!$B$15*MIN(O29*(1-Parametros!$B$13),U29*(1+Parametros!$B$27)^(3+Parametros!$B$14))/(1+Parametros!$B$20)^(A29+Parametros!$B$14),0)</f>
        <v/>
      </c>
      <c r="W29" s="44">
        <f>IF(M29=1,((A29-3)/(Parametros!$B$16-3))*EXP(1-(A29-3)/(Parametros!$B$16-3)),0)</f>
        <v/>
      </c>
      <c r="X29" s="44">
        <f>W29+X28</f>
        <v/>
      </c>
      <c r="Y29" s="45">
        <f>W29/$B$9</f>
        <v/>
      </c>
      <c r="Z29" s="42">
        <f>S29*N29/(1+Parametros!$B$20)^A29</f>
        <v/>
      </c>
      <c r="AA29" s="41">
        <f>IF(AND(M29=1,O29*(1-Parametros!$B$13)&gt;=N29),1,0)</f>
        <v/>
      </c>
    </row>
    <row r="30">
      <c r="A30" s="41" t="n">
        <v>12</v>
      </c>
      <c r="B30" s="41">
        <f>IF(A30&lt;=Parametros!$B$10,1,0)</f>
        <v/>
      </c>
      <c r="C30" s="42">
        <f>IF(AND(A30&gt;=1,A30&lt;=Parametros!$B$10),$B$4,0)</f>
        <v/>
      </c>
      <c r="D30" s="42">
        <f>IF(A30&lt;=Parametros!$B$10,Parametros!$B$7*((1+Parametros!$B$8)^Parametros!$B$10-(1+Parametros!$B$8)^A30)/((1+Parametros!$B$8)^Parametros!$B$10-1),0)</f>
        <v/>
      </c>
      <c r="E30" s="42">
        <f>IF(AND(A30&gt;=1,A30&lt;=Parametros!$B$10),Parametros!$B$21/12*D29,0)</f>
        <v/>
      </c>
      <c r="F30" s="42">
        <f>C30-E30</f>
        <v/>
      </c>
      <c r="G30" s="42">
        <f>F30/(1+Parametros!$B$20)^A30+G29</f>
        <v/>
      </c>
      <c r="H30" s="42">
        <f>IF(AND(A30&gt;=1,A30&lt;=Parametros!$B$10),$B$5,0)</f>
        <v/>
      </c>
      <c r="I30" s="42">
        <f>IF(A30&lt;=Parametros!$B$10,Parametros!$B$7*((1+Parametros!$B$27)^Parametros!$B$10-(1+Parametros!$B$27)^A30)/((1+Parametros!$B$27)^Parametros!$B$10-1),0)</f>
        <v/>
      </c>
      <c r="J30" s="42">
        <f>IF(AND(A30&gt;=1,A30&lt;=Parametros!$B$10),Parametros!$B$21/12*I29,0)</f>
        <v/>
      </c>
      <c r="K30" s="42">
        <f>H30-J30</f>
        <v/>
      </c>
      <c r="L30" s="42">
        <f>K30/(1+Parametros!$B$20)^A30+L29</f>
        <v/>
      </c>
      <c r="M30" s="41">
        <f>IF(AND(A30&gt;=4,A30&lt;=Parametros!$B$10+3),1,0)</f>
        <v/>
      </c>
      <c r="N30" s="42">
        <f>IF(M30=1,INDEX($D$18:$D$81,A30-3),0)</f>
        <v/>
      </c>
      <c r="O30" s="42">
        <f>IF(M30=1,Parametros!$B$5*(1-Parametros!$B$12)*(1-Parametros!$B$11)^((A30+Parametros!$B$14)/12),0)</f>
        <v/>
      </c>
      <c r="P30" s="42">
        <f>N30*(1+Parametros!$B$8)^(3+Parametros!$B$14)</f>
        <v/>
      </c>
      <c r="Q30" s="42">
        <f>MIN(O30*(1-Parametros!$B$13),P30)</f>
        <v/>
      </c>
      <c r="R30" s="43">
        <f>IF(M30=1,MAX(0,1-Q30/(1+Parametros!$B$20)^Parametros!$B$14/N30),0)</f>
        <v/>
      </c>
      <c r="S30" s="43">
        <f>IF(M30=1,Parametros!$B$15*R30+(1-Parametros!$B$15),0)</f>
        <v/>
      </c>
      <c r="T30" s="42">
        <f>IF(M30=1,-Parametros!$B$7-Parametros!$B$22+INDEX($G$18:$G$81,A30-3)+Parametros!$B$15*Q30/(1+Parametros!$B$20)^(A30+Parametros!$B$14),0)</f>
        <v/>
      </c>
      <c r="U30" s="42">
        <f>IF(M30=1,INDEX($I$18:$I$81,A30-3),0)</f>
        <v/>
      </c>
      <c r="V30" s="42">
        <f>IF(M30=1,-Parametros!$B$7-Parametros!$B$22+INDEX($L$18:$L$81,A30-3)+Parametros!$B$15*MIN(O30*(1-Parametros!$B$13),U30*(1+Parametros!$B$27)^(3+Parametros!$B$14))/(1+Parametros!$B$20)^(A30+Parametros!$B$14),0)</f>
        <v/>
      </c>
      <c r="W30" s="44">
        <f>IF(M30=1,((A30-3)/(Parametros!$B$16-3))*EXP(1-(A30-3)/(Parametros!$B$16-3)),0)</f>
        <v/>
      </c>
      <c r="X30" s="44">
        <f>W30+X29</f>
        <v/>
      </c>
      <c r="Y30" s="45">
        <f>W30/$B$9</f>
        <v/>
      </c>
      <c r="Z30" s="42">
        <f>S30*N30/(1+Parametros!$B$20)^A30</f>
        <v/>
      </c>
      <c r="AA30" s="41">
        <f>IF(AND(M30=1,O30*(1-Parametros!$B$13)&gt;=N30),1,0)</f>
        <v/>
      </c>
    </row>
    <row r="31">
      <c r="A31" s="41" t="n">
        <v>13</v>
      </c>
      <c r="B31" s="41">
        <f>IF(A31&lt;=Parametros!$B$10,1,0)</f>
        <v/>
      </c>
      <c r="C31" s="42">
        <f>IF(AND(A31&gt;=1,A31&lt;=Parametros!$B$10),$B$4,0)</f>
        <v/>
      </c>
      <c r="D31" s="42">
        <f>IF(A31&lt;=Parametros!$B$10,Parametros!$B$7*((1+Parametros!$B$8)^Parametros!$B$10-(1+Parametros!$B$8)^A31)/((1+Parametros!$B$8)^Parametros!$B$10-1),0)</f>
        <v/>
      </c>
      <c r="E31" s="42">
        <f>IF(AND(A31&gt;=1,A31&lt;=Parametros!$B$10),Parametros!$B$21/12*D30,0)</f>
        <v/>
      </c>
      <c r="F31" s="42">
        <f>C31-E31</f>
        <v/>
      </c>
      <c r="G31" s="42">
        <f>F31/(1+Parametros!$B$20)^A31+G30</f>
        <v/>
      </c>
      <c r="H31" s="42">
        <f>IF(AND(A31&gt;=1,A31&lt;=Parametros!$B$10),$B$5,0)</f>
        <v/>
      </c>
      <c r="I31" s="42">
        <f>IF(A31&lt;=Parametros!$B$10,Parametros!$B$7*((1+Parametros!$B$27)^Parametros!$B$10-(1+Parametros!$B$27)^A31)/((1+Parametros!$B$27)^Parametros!$B$10-1),0)</f>
        <v/>
      </c>
      <c r="J31" s="42">
        <f>IF(AND(A31&gt;=1,A31&lt;=Parametros!$B$10),Parametros!$B$21/12*I30,0)</f>
        <v/>
      </c>
      <c r="K31" s="42">
        <f>H31-J31</f>
        <v/>
      </c>
      <c r="L31" s="42">
        <f>K31/(1+Parametros!$B$20)^A31+L30</f>
        <v/>
      </c>
      <c r="M31" s="41">
        <f>IF(AND(A31&gt;=4,A31&lt;=Parametros!$B$10+3),1,0)</f>
        <v/>
      </c>
      <c r="N31" s="42">
        <f>IF(M31=1,INDEX($D$18:$D$81,A31-3),0)</f>
        <v/>
      </c>
      <c r="O31" s="42">
        <f>IF(M31=1,Parametros!$B$5*(1-Parametros!$B$12)*(1-Parametros!$B$11)^((A31+Parametros!$B$14)/12),0)</f>
        <v/>
      </c>
      <c r="P31" s="42">
        <f>N31*(1+Parametros!$B$8)^(3+Parametros!$B$14)</f>
        <v/>
      </c>
      <c r="Q31" s="42">
        <f>MIN(O31*(1-Parametros!$B$13),P31)</f>
        <v/>
      </c>
      <c r="R31" s="43">
        <f>IF(M31=1,MAX(0,1-Q31/(1+Parametros!$B$20)^Parametros!$B$14/N31),0)</f>
        <v/>
      </c>
      <c r="S31" s="43">
        <f>IF(M31=1,Parametros!$B$15*R31+(1-Parametros!$B$15),0)</f>
        <v/>
      </c>
      <c r="T31" s="42">
        <f>IF(M31=1,-Parametros!$B$7-Parametros!$B$22+INDEX($G$18:$G$81,A31-3)+Parametros!$B$15*Q31/(1+Parametros!$B$20)^(A31+Parametros!$B$14),0)</f>
        <v/>
      </c>
      <c r="U31" s="42">
        <f>IF(M31=1,INDEX($I$18:$I$81,A31-3),0)</f>
        <v/>
      </c>
      <c r="V31" s="42">
        <f>IF(M31=1,-Parametros!$B$7-Parametros!$B$22+INDEX($L$18:$L$81,A31-3)+Parametros!$B$15*MIN(O31*(1-Parametros!$B$13),U31*(1+Parametros!$B$27)^(3+Parametros!$B$14))/(1+Parametros!$B$20)^(A31+Parametros!$B$14),0)</f>
        <v/>
      </c>
      <c r="W31" s="44">
        <f>IF(M31=1,((A31-3)/(Parametros!$B$16-3))*EXP(1-(A31-3)/(Parametros!$B$16-3)),0)</f>
        <v/>
      </c>
      <c r="X31" s="44">
        <f>W31+X30</f>
        <v/>
      </c>
      <c r="Y31" s="45">
        <f>W31/$B$9</f>
        <v/>
      </c>
      <c r="Z31" s="42">
        <f>S31*N31/(1+Parametros!$B$20)^A31</f>
        <v/>
      </c>
      <c r="AA31" s="41">
        <f>IF(AND(M31=1,O31*(1-Parametros!$B$13)&gt;=N31),1,0)</f>
        <v/>
      </c>
    </row>
    <row r="32">
      <c r="A32" s="41" t="n">
        <v>14</v>
      </c>
      <c r="B32" s="41">
        <f>IF(A32&lt;=Parametros!$B$10,1,0)</f>
        <v/>
      </c>
      <c r="C32" s="42">
        <f>IF(AND(A32&gt;=1,A32&lt;=Parametros!$B$10),$B$4,0)</f>
        <v/>
      </c>
      <c r="D32" s="42">
        <f>IF(A32&lt;=Parametros!$B$10,Parametros!$B$7*((1+Parametros!$B$8)^Parametros!$B$10-(1+Parametros!$B$8)^A32)/((1+Parametros!$B$8)^Parametros!$B$10-1),0)</f>
        <v/>
      </c>
      <c r="E32" s="42">
        <f>IF(AND(A32&gt;=1,A32&lt;=Parametros!$B$10),Parametros!$B$21/12*D31,0)</f>
        <v/>
      </c>
      <c r="F32" s="42">
        <f>C32-E32</f>
        <v/>
      </c>
      <c r="G32" s="42">
        <f>F32/(1+Parametros!$B$20)^A32+G31</f>
        <v/>
      </c>
      <c r="H32" s="42">
        <f>IF(AND(A32&gt;=1,A32&lt;=Parametros!$B$10),$B$5,0)</f>
        <v/>
      </c>
      <c r="I32" s="42">
        <f>IF(A32&lt;=Parametros!$B$10,Parametros!$B$7*((1+Parametros!$B$27)^Parametros!$B$10-(1+Parametros!$B$27)^A32)/((1+Parametros!$B$27)^Parametros!$B$10-1),0)</f>
        <v/>
      </c>
      <c r="J32" s="42">
        <f>IF(AND(A32&gt;=1,A32&lt;=Parametros!$B$10),Parametros!$B$21/12*I31,0)</f>
        <v/>
      </c>
      <c r="K32" s="42">
        <f>H32-J32</f>
        <v/>
      </c>
      <c r="L32" s="42">
        <f>K32/(1+Parametros!$B$20)^A32+L31</f>
        <v/>
      </c>
      <c r="M32" s="41">
        <f>IF(AND(A32&gt;=4,A32&lt;=Parametros!$B$10+3),1,0)</f>
        <v/>
      </c>
      <c r="N32" s="42">
        <f>IF(M32=1,INDEX($D$18:$D$81,A32-3),0)</f>
        <v/>
      </c>
      <c r="O32" s="42">
        <f>IF(M32=1,Parametros!$B$5*(1-Parametros!$B$12)*(1-Parametros!$B$11)^((A32+Parametros!$B$14)/12),0)</f>
        <v/>
      </c>
      <c r="P32" s="42">
        <f>N32*(1+Parametros!$B$8)^(3+Parametros!$B$14)</f>
        <v/>
      </c>
      <c r="Q32" s="42">
        <f>MIN(O32*(1-Parametros!$B$13),P32)</f>
        <v/>
      </c>
      <c r="R32" s="43">
        <f>IF(M32=1,MAX(0,1-Q32/(1+Parametros!$B$20)^Parametros!$B$14/N32),0)</f>
        <v/>
      </c>
      <c r="S32" s="43">
        <f>IF(M32=1,Parametros!$B$15*R32+(1-Parametros!$B$15),0)</f>
        <v/>
      </c>
      <c r="T32" s="42">
        <f>IF(M32=1,-Parametros!$B$7-Parametros!$B$22+INDEX($G$18:$G$81,A32-3)+Parametros!$B$15*Q32/(1+Parametros!$B$20)^(A32+Parametros!$B$14),0)</f>
        <v/>
      </c>
      <c r="U32" s="42">
        <f>IF(M32=1,INDEX($I$18:$I$81,A32-3),0)</f>
        <v/>
      </c>
      <c r="V32" s="42">
        <f>IF(M32=1,-Parametros!$B$7-Parametros!$B$22+INDEX($L$18:$L$81,A32-3)+Parametros!$B$15*MIN(O32*(1-Parametros!$B$13),U32*(1+Parametros!$B$27)^(3+Parametros!$B$14))/(1+Parametros!$B$20)^(A32+Parametros!$B$14),0)</f>
        <v/>
      </c>
      <c r="W32" s="44">
        <f>IF(M32=1,((A32-3)/(Parametros!$B$16-3))*EXP(1-(A32-3)/(Parametros!$B$16-3)),0)</f>
        <v/>
      </c>
      <c r="X32" s="44">
        <f>W32+X31</f>
        <v/>
      </c>
      <c r="Y32" s="45">
        <f>W32/$B$9</f>
        <v/>
      </c>
      <c r="Z32" s="42">
        <f>S32*N32/(1+Parametros!$B$20)^A32</f>
        <v/>
      </c>
      <c r="AA32" s="41">
        <f>IF(AND(M32=1,O32*(1-Parametros!$B$13)&gt;=N32),1,0)</f>
        <v/>
      </c>
    </row>
    <row r="33">
      <c r="A33" s="41" t="n">
        <v>15</v>
      </c>
      <c r="B33" s="41">
        <f>IF(A33&lt;=Parametros!$B$10,1,0)</f>
        <v/>
      </c>
      <c r="C33" s="42">
        <f>IF(AND(A33&gt;=1,A33&lt;=Parametros!$B$10),$B$4,0)</f>
        <v/>
      </c>
      <c r="D33" s="42">
        <f>IF(A33&lt;=Parametros!$B$10,Parametros!$B$7*((1+Parametros!$B$8)^Parametros!$B$10-(1+Parametros!$B$8)^A33)/((1+Parametros!$B$8)^Parametros!$B$10-1),0)</f>
        <v/>
      </c>
      <c r="E33" s="42">
        <f>IF(AND(A33&gt;=1,A33&lt;=Parametros!$B$10),Parametros!$B$21/12*D32,0)</f>
        <v/>
      </c>
      <c r="F33" s="42">
        <f>C33-E33</f>
        <v/>
      </c>
      <c r="G33" s="42">
        <f>F33/(1+Parametros!$B$20)^A33+G32</f>
        <v/>
      </c>
      <c r="H33" s="42">
        <f>IF(AND(A33&gt;=1,A33&lt;=Parametros!$B$10),$B$5,0)</f>
        <v/>
      </c>
      <c r="I33" s="42">
        <f>IF(A33&lt;=Parametros!$B$10,Parametros!$B$7*((1+Parametros!$B$27)^Parametros!$B$10-(1+Parametros!$B$27)^A33)/((1+Parametros!$B$27)^Parametros!$B$10-1),0)</f>
        <v/>
      </c>
      <c r="J33" s="42">
        <f>IF(AND(A33&gt;=1,A33&lt;=Parametros!$B$10),Parametros!$B$21/12*I32,0)</f>
        <v/>
      </c>
      <c r="K33" s="42">
        <f>H33-J33</f>
        <v/>
      </c>
      <c r="L33" s="42">
        <f>K33/(1+Parametros!$B$20)^A33+L32</f>
        <v/>
      </c>
      <c r="M33" s="41">
        <f>IF(AND(A33&gt;=4,A33&lt;=Parametros!$B$10+3),1,0)</f>
        <v/>
      </c>
      <c r="N33" s="42">
        <f>IF(M33=1,INDEX($D$18:$D$81,A33-3),0)</f>
        <v/>
      </c>
      <c r="O33" s="42">
        <f>IF(M33=1,Parametros!$B$5*(1-Parametros!$B$12)*(1-Parametros!$B$11)^((A33+Parametros!$B$14)/12),0)</f>
        <v/>
      </c>
      <c r="P33" s="42">
        <f>N33*(1+Parametros!$B$8)^(3+Parametros!$B$14)</f>
        <v/>
      </c>
      <c r="Q33" s="42">
        <f>MIN(O33*(1-Parametros!$B$13),P33)</f>
        <v/>
      </c>
      <c r="R33" s="43">
        <f>IF(M33=1,MAX(0,1-Q33/(1+Parametros!$B$20)^Parametros!$B$14/N33),0)</f>
        <v/>
      </c>
      <c r="S33" s="43">
        <f>IF(M33=1,Parametros!$B$15*R33+(1-Parametros!$B$15),0)</f>
        <v/>
      </c>
      <c r="T33" s="42">
        <f>IF(M33=1,-Parametros!$B$7-Parametros!$B$22+INDEX($G$18:$G$81,A33-3)+Parametros!$B$15*Q33/(1+Parametros!$B$20)^(A33+Parametros!$B$14),0)</f>
        <v/>
      </c>
      <c r="U33" s="42">
        <f>IF(M33=1,INDEX($I$18:$I$81,A33-3),0)</f>
        <v/>
      </c>
      <c r="V33" s="42">
        <f>IF(M33=1,-Parametros!$B$7-Parametros!$B$22+INDEX($L$18:$L$81,A33-3)+Parametros!$B$15*MIN(O33*(1-Parametros!$B$13),U33*(1+Parametros!$B$27)^(3+Parametros!$B$14))/(1+Parametros!$B$20)^(A33+Parametros!$B$14),0)</f>
        <v/>
      </c>
      <c r="W33" s="44">
        <f>IF(M33=1,((A33-3)/(Parametros!$B$16-3))*EXP(1-(A33-3)/(Parametros!$B$16-3)),0)</f>
        <v/>
      </c>
      <c r="X33" s="44">
        <f>W33+X32</f>
        <v/>
      </c>
      <c r="Y33" s="45">
        <f>W33/$B$9</f>
        <v/>
      </c>
      <c r="Z33" s="42">
        <f>S33*N33/(1+Parametros!$B$20)^A33</f>
        <v/>
      </c>
      <c r="AA33" s="41">
        <f>IF(AND(M33=1,O33*(1-Parametros!$B$13)&gt;=N33),1,0)</f>
        <v/>
      </c>
    </row>
    <row r="34">
      <c r="A34" s="41" t="n">
        <v>16</v>
      </c>
      <c r="B34" s="41">
        <f>IF(A34&lt;=Parametros!$B$10,1,0)</f>
        <v/>
      </c>
      <c r="C34" s="42">
        <f>IF(AND(A34&gt;=1,A34&lt;=Parametros!$B$10),$B$4,0)</f>
        <v/>
      </c>
      <c r="D34" s="42">
        <f>IF(A34&lt;=Parametros!$B$10,Parametros!$B$7*((1+Parametros!$B$8)^Parametros!$B$10-(1+Parametros!$B$8)^A34)/((1+Parametros!$B$8)^Parametros!$B$10-1),0)</f>
        <v/>
      </c>
      <c r="E34" s="42">
        <f>IF(AND(A34&gt;=1,A34&lt;=Parametros!$B$10),Parametros!$B$21/12*D33,0)</f>
        <v/>
      </c>
      <c r="F34" s="42">
        <f>C34-E34</f>
        <v/>
      </c>
      <c r="G34" s="42">
        <f>F34/(1+Parametros!$B$20)^A34+G33</f>
        <v/>
      </c>
      <c r="H34" s="42">
        <f>IF(AND(A34&gt;=1,A34&lt;=Parametros!$B$10),$B$5,0)</f>
        <v/>
      </c>
      <c r="I34" s="42">
        <f>IF(A34&lt;=Parametros!$B$10,Parametros!$B$7*((1+Parametros!$B$27)^Parametros!$B$10-(1+Parametros!$B$27)^A34)/((1+Parametros!$B$27)^Parametros!$B$10-1),0)</f>
        <v/>
      </c>
      <c r="J34" s="42">
        <f>IF(AND(A34&gt;=1,A34&lt;=Parametros!$B$10),Parametros!$B$21/12*I33,0)</f>
        <v/>
      </c>
      <c r="K34" s="42">
        <f>H34-J34</f>
        <v/>
      </c>
      <c r="L34" s="42">
        <f>K34/(1+Parametros!$B$20)^A34+L33</f>
        <v/>
      </c>
      <c r="M34" s="41">
        <f>IF(AND(A34&gt;=4,A34&lt;=Parametros!$B$10+3),1,0)</f>
        <v/>
      </c>
      <c r="N34" s="42">
        <f>IF(M34=1,INDEX($D$18:$D$81,A34-3),0)</f>
        <v/>
      </c>
      <c r="O34" s="42">
        <f>IF(M34=1,Parametros!$B$5*(1-Parametros!$B$12)*(1-Parametros!$B$11)^((A34+Parametros!$B$14)/12),0)</f>
        <v/>
      </c>
      <c r="P34" s="42">
        <f>N34*(1+Parametros!$B$8)^(3+Parametros!$B$14)</f>
        <v/>
      </c>
      <c r="Q34" s="42">
        <f>MIN(O34*(1-Parametros!$B$13),P34)</f>
        <v/>
      </c>
      <c r="R34" s="43">
        <f>IF(M34=1,MAX(0,1-Q34/(1+Parametros!$B$20)^Parametros!$B$14/N34),0)</f>
        <v/>
      </c>
      <c r="S34" s="43">
        <f>IF(M34=1,Parametros!$B$15*R34+(1-Parametros!$B$15),0)</f>
        <v/>
      </c>
      <c r="T34" s="42">
        <f>IF(M34=1,-Parametros!$B$7-Parametros!$B$22+INDEX($G$18:$G$81,A34-3)+Parametros!$B$15*Q34/(1+Parametros!$B$20)^(A34+Parametros!$B$14),0)</f>
        <v/>
      </c>
      <c r="U34" s="42">
        <f>IF(M34=1,INDEX($I$18:$I$81,A34-3),0)</f>
        <v/>
      </c>
      <c r="V34" s="42">
        <f>IF(M34=1,-Parametros!$B$7-Parametros!$B$22+INDEX($L$18:$L$81,A34-3)+Parametros!$B$15*MIN(O34*(1-Parametros!$B$13),U34*(1+Parametros!$B$27)^(3+Parametros!$B$14))/(1+Parametros!$B$20)^(A34+Parametros!$B$14),0)</f>
        <v/>
      </c>
      <c r="W34" s="44">
        <f>IF(M34=1,((A34-3)/(Parametros!$B$16-3))*EXP(1-(A34-3)/(Parametros!$B$16-3)),0)</f>
        <v/>
      </c>
      <c r="X34" s="44">
        <f>W34+X33</f>
        <v/>
      </c>
      <c r="Y34" s="45">
        <f>W34/$B$9</f>
        <v/>
      </c>
      <c r="Z34" s="42">
        <f>S34*N34/(1+Parametros!$B$20)^A34</f>
        <v/>
      </c>
      <c r="AA34" s="41">
        <f>IF(AND(M34=1,O34*(1-Parametros!$B$13)&gt;=N34),1,0)</f>
        <v/>
      </c>
    </row>
    <row r="35">
      <c r="A35" s="41" t="n">
        <v>17</v>
      </c>
      <c r="B35" s="41">
        <f>IF(A35&lt;=Parametros!$B$10,1,0)</f>
        <v/>
      </c>
      <c r="C35" s="42">
        <f>IF(AND(A35&gt;=1,A35&lt;=Parametros!$B$10),$B$4,0)</f>
        <v/>
      </c>
      <c r="D35" s="42">
        <f>IF(A35&lt;=Parametros!$B$10,Parametros!$B$7*((1+Parametros!$B$8)^Parametros!$B$10-(1+Parametros!$B$8)^A35)/((1+Parametros!$B$8)^Parametros!$B$10-1),0)</f>
        <v/>
      </c>
      <c r="E35" s="42">
        <f>IF(AND(A35&gt;=1,A35&lt;=Parametros!$B$10),Parametros!$B$21/12*D34,0)</f>
        <v/>
      </c>
      <c r="F35" s="42">
        <f>C35-E35</f>
        <v/>
      </c>
      <c r="G35" s="42">
        <f>F35/(1+Parametros!$B$20)^A35+G34</f>
        <v/>
      </c>
      <c r="H35" s="42">
        <f>IF(AND(A35&gt;=1,A35&lt;=Parametros!$B$10),$B$5,0)</f>
        <v/>
      </c>
      <c r="I35" s="42">
        <f>IF(A35&lt;=Parametros!$B$10,Parametros!$B$7*((1+Parametros!$B$27)^Parametros!$B$10-(1+Parametros!$B$27)^A35)/((1+Parametros!$B$27)^Parametros!$B$10-1),0)</f>
        <v/>
      </c>
      <c r="J35" s="42">
        <f>IF(AND(A35&gt;=1,A35&lt;=Parametros!$B$10),Parametros!$B$21/12*I34,0)</f>
        <v/>
      </c>
      <c r="K35" s="42">
        <f>H35-J35</f>
        <v/>
      </c>
      <c r="L35" s="42">
        <f>K35/(1+Parametros!$B$20)^A35+L34</f>
        <v/>
      </c>
      <c r="M35" s="41">
        <f>IF(AND(A35&gt;=4,A35&lt;=Parametros!$B$10+3),1,0)</f>
        <v/>
      </c>
      <c r="N35" s="42">
        <f>IF(M35=1,INDEX($D$18:$D$81,A35-3),0)</f>
        <v/>
      </c>
      <c r="O35" s="42">
        <f>IF(M35=1,Parametros!$B$5*(1-Parametros!$B$12)*(1-Parametros!$B$11)^((A35+Parametros!$B$14)/12),0)</f>
        <v/>
      </c>
      <c r="P35" s="42">
        <f>N35*(1+Parametros!$B$8)^(3+Parametros!$B$14)</f>
        <v/>
      </c>
      <c r="Q35" s="42">
        <f>MIN(O35*(1-Parametros!$B$13),P35)</f>
        <v/>
      </c>
      <c r="R35" s="43">
        <f>IF(M35=1,MAX(0,1-Q35/(1+Parametros!$B$20)^Parametros!$B$14/N35),0)</f>
        <v/>
      </c>
      <c r="S35" s="43">
        <f>IF(M35=1,Parametros!$B$15*R35+(1-Parametros!$B$15),0)</f>
        <v/>
      </c>
      <c r="T35" s="42">
        <f>IF(M35=1,-Parametros!$B$7-Parametros!$B$22+INDEX($G$18:$G$81,A35-3)+Parametros!$B$15*Q35/(1+Parametros!$B$20)^(A35+Parametros!$B$14),0)</f>
        <v/>
      </c>
      <c r="U35" s="42">
        <f>IF(M35=1,INDEX($I$18:$I$81,A35-3),0)</f>
        <v/>
      </c>
      <c r="V35" s="42">
        <f>IF(M35=1,-Parametros!$B$7-Parametros!$B$22+INDEX($L$18:$L$81,A35-3)+Parametros!$B$15*MIN(O35*(1-Parametros!$B$13),U35*(1+Parametros!$B$27)^(3+Parametros!$B$14))/(1+Parametros!$B$20)^(A35+Parametros!$B$14),0)</f>
        <v/>
      </c>
      <c r="W35" s="44">
        <f>IF(M35=1,((A35-3)/(Parametros!$B$16-3))*EXP(1-(A35-3)/(Parametros!$B$16-3)),0)</f>
        <v/>
      </c>
      <c r="X35" s="44">
        <f>W35+X34</f>
        <v/>
      </c>
      <c r="Y35" s="45">
        <f>W35/$B$9</f>
        <v/>
      </c>
      <c r="Z35" s="42">
        <f>S35*N35/(1+Parametros!$B$20)^A35</f>
        <v/>
      </c>
      <c r="AA35" s="41">
        <f>IF(AND(M35=1,O35*(1-Parametros!$B$13)&gt;=N35),1,0)</f>
        <v/>
      </c>
    </row>
    <row r="36">
      <c r="A36" s="41" t="n">
        <v>18</v>
      </c>
      <c r="B36" s="41">
        <f>IF(A36&lt;=Parametros!$B$10,1,0)</f>
        <v/>
      </c>
      <c r="C36" s="42">
        <f>IF(AND(A36&gt;=1,A36&lt;=Parametros!$B$10),$B$4,0)</f>
        <v/>
      </c>
      <c r="D36" s="42">
        <f>IF(A36&lt;=Parametros!$B$10,Parametros!$B$7*((1+Parametros!$B$8)^Parametros!$B$10-(1+Parametros!$B$8)^A36)/((1+Parametros!$B$8)^Parametros!$B$10-1),0)</f>
        <v/>
      </c>
      <c r="E36" s="42">
        <f>IF(AND(A36&gt;=1,A36&lt;=Parametros!$B$10),Parametros!$B$21/12*D35,0)</f>
        <v/>
      </c>
      <c r="F36" s="42">
        <f>C36-E36</f>
        <v/>
      </c>
      <c r="G36" s="42">
        <f>F36/(1+Parametros!$B$20)^A36+G35</f>
        <v/>
      </c>
      <c r="H36" s="42">
        <f>IF(AND(A36&gt;=1,A36&lt;=Parametros!$B$10),$B$5,0)</f>
        <v/>
      </c>
      <c r="I36" s="42">
        <f>IF(A36&lt;=Parametros!$B$10,Parametros!$B$7*((1+Parametros!$B$27)^Parametros!$B$10-(1+Parametros!$B$27)^A36)/((1+Parametros!$B$27)^Parametros!$B$10-1),0)</f>
        <v/>
      </c>
      <c r="J36" s="42">
        <f>IF(AND(A36&gt;=1,A36&lt;=Parametros!$B$10),Parametros!$B$21/12*I35,0)</f>
        <v/>
      </c>
      <c r="K36" s="42">
        <f>H36-J36</f>
        <v/>
      </c>
      <c r="L36" s="42">
        <f>K36/(1+Parametros!$B$20)^A36+L35</f>
        <v/>
      </c>
      <c r="M36" s="41">
        <f>IF(AND(A36&gt;=4,A36&lt;=Parametros!$B$10+3),1,0)</f>
        <v/>
      </c>
      <c r="N36" s="42">
        <f>IF(M36=1,INDEX($D$18:$D$81,A36-3),0)</f>
        <v/>
      </c>
      <c r="O36" s="42">
        <f>IF(M36=1,Parametros!$B$5*(1-Parametros!$B$12)*(1-Parametros!$B$11)^((A36+Parametros!$B$14)/12),0)</f>
        <v/>
      </c>
      <c r="P36" s="42">
        <f>N36*(1+Parametros!$B$8)^(3+Parametros!$B$14)</f>
        <v/>
      </c>
      <c r="Q36" s="42">
        <f>MIN(O36*(1-Parametros!$B$13),P36)</f>
        <v/>
      </c>
      <c r="R36" s="43">
        <f>IF(M36=1,MAX(0,1-Q36/(1+Parametros!$B$20)^Parametros!$B$14/N36),0)</f>
        <v/>
      </c>
      <c r="S36" s="43">
        <f>IF(M36=1,Parametros!$B$15*R36+(1-Parametros!$B$15),0)</f>
        <v/>
      </c>
      <c r="T36" s="42">
        <f>IF(M36=1,-Parametros!$B$7-Parametros!$B$22+INDEX($G$18:$G$81,A36-3)+Parametros!$B$15*Q36/(1+Parametros!$B$20)^(A36+Parametros!$B$14),0)</f>
        <v/>
      </c>
      <c r="U36" s="42">
        <f>IF(M36=1,INDEX($I$18:$I$81,A36-3),0)</f>
        <v/>
      </c>
      <c r="V36" s="42">
        <f>IF(M36=1,-Parametros!$B$7-Parametros!$B$22+INDEX($L$18:$L$81,A36-3)+Parametros!$B$15*MIN(O36*(1-Parametros!$B$13),U36*(1+Parametros!$B$27)^(3+Parametros!$B$14))/(1+Parametros!$B$20)^(A36+Parametros!$B$14),0)</f>
        <v/>
      </c>
      <c r="W36" s="44">
        <f>IF(M36=1,((A36-3)/(Parametros!$B$16-3))*EXP(1-(A36-3)/(Parametros!$B$16-3)),0)</f>
        <v/>
      </c>
      <c r="X36" s="44">
        <f>W36+X35</f>
        <v/>
      </c>
      <c r="Y36" s="45">
        <f>W36/$B$9</f>
        <v/>
      </c>
      <c r="Z36" s="42">
        <f>S36*N36/(1+Parametros!$B$20)^A36</f>
        <v/>
      </c>
      <c r="AA36" s="41">
        <f>IF(AND(M36=1,O36*(1-Parametros!$B$13)&gt;=N36),1,0)</f>
        <v/>
      </c>
    </row>
    <row r="37">
      <c r="A37" s="41" t="n">
        <v>19</v>
      </c>
      <c r="B37" s="41">
        <f>IF(A37&lt;=Parametros!$B$10,1,0)</f>
        <v/>
      </c>
      <c r="C37" s="42">
        <f>IF(AND(A37&gt;=1,A37&lt;=Parametros!$B$10),$B$4,0)</f>
        <v/>
      </c>
      <c r="D37" s="42">
        <f>IF(A37&lt;=Parametros!$B$10,Parametros!$B$7*((1+Parametros!$B$8)^Parametros!$B$10-(1+Parametros!$B$8)^A37)/((1+Parametros!$B$8)^Parametros!$B$10-1),0)</f>
        <v/>
      </c>
      <c r="E37" s="42">
        <f>IF(AND(A37&gt;=1,A37&lt;=Parametros!$B$10),Parametros!$B$21/12*D36,0)</f>
        <v/>
      </c>
      <c r="F37" s="42">
        <f>C37-E37</f>
        <v/>
      </c>
      <c r="G37" s="42">
        <f>F37/(1+Parametros!$B$20)^A37+G36</f>
        <v/>
      </c>
      <c r="H37" s="42">
        <f>IF(AND(A37&gt;=1,A37&lt;=Parametros!$B$10),$B$5,0)</f>
        <v/>
      </c>
      <c r="I37" s="42">
        <f>IF(A37&lt;=Parametros!$B$10,Parametros!$B$7*((1+Parametros!$B$27)^Parametros!$B$10-(1+Parametros!$B$27)^A37)/((1+Parametros!$B$27)^Parametros!$B$10-1),0)</f>
        <v/>
      </c>
      <c r="J37" s="42">
        <f>IF(AND(A37&gt;=1,A37&lt;=Parametros!$B$10),Parametros!$B$21/12*I36,0)</f>
        <v/>
      </c>
      <c r="K37" s="42">
        <f>H37-J37</f>
        <v/>
      </c>
      <c r="L37" s="42">
        <f>K37/(1+Parametros!$B$20)^A37+L36</f>
        <v/>
      </c>
      <c r="M37" s="41">
        <f>IF(AND(A37&gt;=4,A37&lt;=Parametros!$B$10+3),1,0)</f>
        <v/>
      </c>
      <c r="N37" s="42">
        <f>IF(M37=1,INDEX($D$18:$D$81,A37-3),0)</f>
        <v/>
      </c>
      <c r="O37" s="42">
        <f>IF(M37=1,Parametros!$B$5*(1-Parametros!$B$12)*(1-Parametros!$B$11)^((A37+Parametros!$B$14)/12),0)</f>
        <v/>
      </c>
      <c r="P37" s="42">
        <f>N37*(1+Parametros!$B$8)^(3+Parametros!$B$14)</f>
        <v/>
      </c>
      <c r="Q37" s="42">
        <f>MIN(O37*(1-Parametros!$B$13),P37)</f>
        <v/>
      </c>
      <c r="R37" s="43">
        <f>IF(M37=1,MAX(0,1-Q37/(1+Parametros!$B$20)^Parametros!$B$14/N37),0)</f>
        <v/>
      </c>
      <c r="S37" s="43">
        <f>IF(M37=1,Parametros!$B$15*R37+(1-Parametros!$B$15),0)</f>
        <v/>
      </c>
      <c r="T37" s="42">
        <f>IF(M37=1,-Parametros!$B$7-Parametros!$B$22+INDEX($G$18:$G$81,A37-3)+Parametros!$B$15*Q37/(1+Parametros!$B$20)^(A37+Parametros!$B$14),0)</f>
        <v/>
      </c>
      <c r="U37" s="42">
        <f>IF(M37=1,INDEX($I$18:$I$81,A37-3),0)</f>
        <v/>
      </c>
      <c r="V37" s="42">
        <f>IF(M37=1,-Parametros!$B$7-Parametros!$B$22+INDEX($L$18:$L$81,A37-3)+Parametros!$B$15*MIN(O37*(1-Parametros!$B$13),U37*(1+Parametros!$B$27)^(3+Parametros!$B$14))/(1+Parametros!$B$20)^(A37+Parametros!$B$14),0)</f>
        <v/>
      </c>
      <c r="W37" s="44">
        <f>IF(M37=1,((A37-3)/(Parametros!$B$16-3))*EXP(1-(A37-3)/(Parametros!$B$16-3)),0)</f>
        <v/>
      </c>
      <c r="X37" s="44">
        <f>W37+X36</f>
        <v/>
      </c>
      <c r="Y37" s="45">
        <f>W37/$B$9</f>
        <v/>
      </c>
      <c r="Z37" s="42">
        <f>S37*N37/(1+Parametros!$B$20)^A37</f>
        <v/>
      </c>
      <c r="AA37" s="41">
        <f>IF(AND(M37=1,O37*(1-Parametros!$B$13)&gt;=N37),1,0)</f>
        <v/>
      </c>
    </row>
    <row r="38">
      <c r="A38" s="41" t="n">
        <v>20</v>
      </c>
      <c r="B38" s="41">
        <f>IF(A38&lt;=Parametros!$B$10,1,0)</f>
        <v/>
      </c>
      <c r="C38" s="42">
        <f>IF(AND(A38&gt;=1,A38&lt;=Parametros!$B$10),$B$4,0)</f>
        <v/>
      </c>
      <c r="D38" s="42">
        <f>IF(A38&lt;=Parametros!$B$10,Parametros!$B$7*((1+Parametros!$B$8)^Parametros!$B$10-(1+Parametros!$B$8)^A38)/((1+Parametros!$B$8)^Parametros!$B$10-1),0)</f>
        <v/>
      </c>
      <c r="E38" s="42">
        <f>IF(AND(A38&gt;=1,A38&lt;=Parametros!$B$10),Parametros!$B$21/12*D37,0)</f>
        <v/>
      </c>
      <c r="F38" s="42">
        <f>C38-E38</f>
        <v/>
      </c>
      <c r="G38" s="42">
        <f>F38/(1+Parametros!$B$20)^A38+G37</f>
        <v/>
      </c>
      <c r="H38" s="42">
        <f>IF(AND(A38&gt;=1,A38&lt;=Parametros!$B$10),$B$5,0)</f>
        <v/>
      </c>
      <c r="I38" s="42">
        <f>IF(A38&lt;=Parametros!$B$10,Parametros!$B$7*((1+Parametros!$B$27)^Parametros!$B$10-(1+Parametros!$B$27)^A38)/((1+Parametros!$B$27)^Parametros!$B$10-1),0)</f>
        <v/>
      </c>
      <c r="J38" s="42">
        <f>IF(AND(A38&gt;=1,A38&lt;=Parametros!$B$10),Parametros!$B$21/12*I37,0)</f>
        <v/>
      </c>
      <c r="K38" s="42">
        <f>H38-J38</f>
        <v/>
      </c>
      <c r="L38" s="42">
        <f>K38/(1+Parametros!$B$20)^A38+L37</f>
        <v/>
      </c>
      <c r="M38" s="41">
        <f>IF(AND(A38&gt;=4,A38&lt;=Parametros!$B$10+3),1,0)</f>
        <v/>
      </c>
      <c r="N38" s="42">
        <f>IF(M38=1,INDEX($D$18:$D$81,A38-3),0)</f>
        <v/>
      </c>
      <c r="O38" s="42">
        <f>IF(M38=1,Parametros!$B$5*(1-Parametros!$B$12)*(1-Parametros!$B$11)^((A38+Parametros!$B$14)/12),0)</f>
        <v/>
      </c>
      <c r="P38" s="42">
        <f>N38*(1+Parametros!$B$8)^(3+Parametros!$B$14)</f>
        <v/>
      </c>
      <c r="Q38" s="42">
        <f>MIN(O38*(1-Parametros!$B$13),P38)</f>
        <v/>
      </c>
      <c r="R38" s="43">
        <f>IF(M38=1,MAX(0,1-Q38/(1+Parametros!$B$20)^Parametros!$B$14/N38),0)</f>
        <v/>
      </c>
      <c r="S38" s="43">
        <f>IF(M38=1,Parametros!$B$15*R38+(1-Parametros!$B$15),0)</f>
        <v/>
      </c>
      <c r="T38" s="42">
        <f>IF(M38=1,-Parametros!$B$7-Parametros!$B$22+INDEX($G$18:$G$81,A38-3)+Parametros!$B$15*Q38/(1+Parametros!$B$20)^(A38+Parametros!$B$14),0)</f>
        <v/>
      </c>
      <c r="U38" s="42">
        <f>IF(M38=1,INDEX($I$18:$I$81,A38-3),0)</f>
        <v/>
      </c>
      <c r="V38" s="42">
        <f>IF(M38=1,-Parametros!$B$7-Parametros!$B$22+INDEX($L$18:$L$81,A38-3)+Parametros!$B$15*MIN(O38*(1-Parametros!$B$13),U38*(1+Parametros!$B$27)^(3+Parametros!$B$14))/(1+Parametros!$B$20)^(A38+Parametros!$B$14),0)</f>
        <v/>
      </c>
      <c r="W38" s="44">
        <f>IF(M38=1,((A38-3)/(Parametros!$B$16-3))*EXP(1-(A38-3)/(Parametros!$B$16-3)),0)</f>
        <v/>
      </c>
      <c r="X38" s="44">
        <f>W38+X37</f>
        <v/>
      </c>
      <c r="Y38" s="45">
        <f>W38/$B$9</f>
        <v/>
      </c>
      <c r="Z38" s="42">
        <f>S38*N38/(1+Parametros!$B$20)^A38</f>
        <v/>
      </c>
      <c r="AA38" s="41">
        <f>IF(AND(M38=1,O38*(1-Parametros!$B$13)&gt;=N38),1,0)</f>
        <v/>
      </c>
    </row>
    <row r="39">
      <c r="A39" s="41" t="n">
        <v>21</v>
      </c>
      <c r="B39" s="41">
        <f>IF(A39&lt;=Parametros!$B$10,1,0)</f>
        <v/>
      </c>
      <c r="C39" s="42">
        <f>IF(AND(A39&gt;=1,A39&lt;=Parametros!$B$10),$B$4,0)</f>
        <v/>
      </c>
      <c r="D39" s="42">
        <f>IF(A39&lt;=Parametros!$B$10,Parametros!$B$7*((1+Parametros!$B$8)^Parametros!$B$10-(1+Parametros!$B$8)^A39)/((1+Parametros!$B$8)^Parametros!$B$10-1),0)</f>
        <v/>
      </c>
      <c r="E39" s="42">
        <f>IF(AND(A39&gt;=1,A39&lt;=Parametros!$B$10),Parametros!$B$21/12*D38,0)</f>
        <v/>
      </c>
      <c r="F39" s="42">
        <f>C39-E39</f>
        <v/>
      </c>
      <c r="G39" s="42">
        <f>F39/(1+Parametros!$B$20)^A39+G38</f>
        <v/>
      </c>
      <c r="H39" s="42">
        <f>IF(AND(A39&gt;=1,A39&lt;=Parametros!$B$10),$B$5,0)</f>
        <v/>
      </c>
      <c r="I39" s="42">
        <f>IF(A39&lt;=Parametros!$B$10,Parametros!$B$7*((1+Parametros!$B$27)^Parametros!$B$10-(1+Parametros!$B$27)^A39)/((1+Parametros!$B$27)^Parametros!$B$10-1),0)</f>
        <v/>
      </c>
      <c r="J39" s="42">
        <f>IF(AND(A39&gt;=1,A39&lt;=Parametros!$B$10),Parametros!$B$21/12*I38,0)</f>
        <v/>
      </c>
      <c r="K39" s="42">
        <f>H39-J39</f>
        <v/>
      </c>
      <c r="L39" s="42">
        <f>K39/(1+Parametros!$B$20)^A39+L38</f>
        <v/>
      </c>
      <c r="M39" s="41">
        <f>IF(AND(A39&gt;=4,A39&lt;=Parametros!$B$10+3),1,0)</f>
        <v/>
      </c>
      <c r="N39" s="42">
        <f>IF(M39=1,INDEX($D$18:$D$81,A39-3),0)</f>
        <v/>
      </c>
      <c r="O39" s="42">
        <f>IF(M39=1,Parametros!$B$5*(1-Parametros!$B$12)*(1-Parametros!$B$11)^((A39+Parametros!$B$14)/12),0)</f>
        <v/>
      </c>
      <c r="P39" s="42">
        <f>N39*(1+Parametros!$B$8)^(3+Parametros!$B$14)</f>
        <v/>
      </c>
      <c r="Q39" s="42">
        <f>MIN(O39*(1-Parametros!$B$13),P39)</f>
        <v/>
      </c>
      <c r="R39" s="43">
        <f>IF(M39=1,MAX(0,1-Q39/(1+Parametros!$B$20)^Parametros!$B$14/N39),0)</f>
        <v/>
      </c>
      <c r="S39" s="43">
        <f>IF(M39=1,Parametros!$B$15*R39+(1-Parametros!$B$15),0)</f>
        <v/>
      </c>
      <c r="T39" s="42">
        <f>IF(M39=1,-Parametros!$B$7-Parametros!$B$22+INDEX($G$18:$G$81,A39-3)+Parametros!$B$15*Q39/(1+Parametros!$B$20)^(A39+Parametros!$B$14),0)</f>
        <v/>
      </c>
      <c r="U39" s="42">
        <f>IF(M39=1,INDEX($I$18:$I$81,A39-3),0)</f>
        <v/>
      </c>
      <c r="V39" s="42">
        <f>IF(M39=1,-Parametros!$B$7-Parametros!$B$22+INDEX($L$18:$L$81,A39-3)+Parametros!$B$15*MIN(O39*(1-Parametros!$B$13),U39*(1+Parametros!$B$27)^(3+Parametros!$B$14))/(1+Parametros!$B$20)^(A39+Parametros!$B$14),0)</f>
        <v/>
      </c>
      <c r="W39" s="44">
        <f>IF(M39=1,((A39-3)/(Parametros!$B$16-3))*EXP(1-(A39-3)/(Parametros!$B$16-3)),0)</f>
        <v/>
      </c>
      <c r="X39" s="44">
        <f>W39+X38</f>
        <v/>
      </c>
      <c r="Y39" s="45">
        <f>W39/$B$9</f>
        <v/>
      </c>
      <c r="Z39" s="42">
        <f>S39*N39/(1+Parametros!$B$20)^A39</f>
        <v/>
      </c>
      <c r="AA39" s="41">
        <f>IF(AND(M39=1,O39*(1-Parametros!$B$13)&gt;=N39),1,0)</f>
        <v/>
      </c>
    </row>
    <row r="40">
      <c r="A40" s="41" t="n">
        <v>22</v>
      </c>
      <c r="B40" s="41">
        <f>IF(A40&lt;=Parametros!$B$10,1,0)</f>
        <v/>
      </c>
      <c r="C40" s="42">
        <f>IF(AND(A40&gt;=1,A40&lt;=Parametros!$B$10),$B$4,0)</f>
        <v/>
      </c>
      <c r="D40" s="42">
        <f>IF(A40&lt;=Parametros!$B$10,Parametros!$B$7*((1+Parametros!$B$8)^Parametros!$B$10-(1+Parametros!$B$8)^A40)/((1+Parametros!$B$8)^Parametros!$B$10-1),0)</f>
        <v/>
      </c>
      <c r="E40" s="42">
        <f>IF(AND(A40&gt;=1,A40&lt;=Parametros!$B$10),Parametros!$B$21/12*D39,0)</f>
        <v/>
      </c>
      <c r="F40" s="42">
        <f>C40-E40</f>
        <v/>
      </c>
      <c r="G40" s="42">
        <f>F40/(1+Parametros!$B$20)^A40+G39</f>
        <v/>
      </c>
      <c r="H40" s="42">
        <f>IF(AND(A40&gt;=1,A40&lt;=Parametros!$B$10),$B$5,0)</f>
        <v/>
      </c>
      <c r="I40" s="42">
        <f>IF(A40&lt;=Parametros!$B$10,Parametros!$B$7*((1+Parametros!$B$27)^Parametros!$B$10-(1+Parametros!$B$27)^A40)/((1+Parametros!$B$27)^Parametros!$B$10-1),0)</f>
        <v/>
      </c>
      <c r="J40" s="42">
        <f>IF(AND(A40&gt;=1,A40&lt;=Parametros!$B$10),Parametros!$B$21/12*I39,0)</f>
        <v/>
      </c>
      <c r="K40" s="42">
        <f>H40-J40</f>
        <v/>
      </c>
      <c r="L40" s="42">
        <f>K40/(1+Parametros!$B$20)^A40+L39</f>
        <v/>
      </c>
      <c r="M40" s="41">
        <f>IF(AND(A40&gt;=4,A40&lt;=Parametros!$B$10+3),1,0)</f>
        <v/>
      </c>
      <c r="N40" s="42">
        <f>IF(M40=1,INDEX($D$18:$D$81,A40-3),0)</f>
        <v/>
      </c>
      <c r="O40" s="42">
        <f>IF(M40=1,Parametros!$B$5*(1-Parametros!$B$12)*(1-Parametros!$B$11)^((A40+Parametros!$B$14)/12),0)</f>
        <v/>
      </c>
      <c r="P40" s="42">
        <f>N40*(1+Parametros!$B$8)^(3+Parametros!$B$14)</f>
        <v/>
      </c>
      <c r="Q40" s="42">
        <f>MIN(O40*(1-Parametros!$B$13),P40)</f>
        <v/>
      </c>
      <c r="R40" s="43">
        <f>IF(M40=1,MAX(0,1-Q40/(1+Parametros!$B$20)^Parametros!$B$14/N40),0)</f>
        <v/>
      </c>
      <c r="S40" s="43">
        <f>IF(M40=1,Parametros!$B$15*R40+(1-Parametros!$B$15),0)</f>
        <v/>
      </c>
      <c r="T40" s="42">
        <f>IF(M40=1,-Parametros!$B$7-Parametros!$B$22+INDEX($G$18:$G$81,A40-3)+Parametros!$B$15*Q40/(1+Parametros!$B$20)^(A40+Parametros!$B$14),0)</f>
        <v/>
      </c>
      <c r="U40" s="42">
        <f>IF(M40=1,INDEX($I$18:$I$81,A40-3),0)</f>
        <v/>
      </c>
      <c r="V40" s="42">
        <f>IF(M40=1,-Parametros!$B$7-Parametros!$B$22+INDEX($L$18:$L$81,A40-3)+Parametros!$B$15*MIN(O40*(1-Parametros!$B$13),U40*(1+Parametros!$B$27)^(3+Parametros!$B$14))/(1+Parametros!$B$20)^(A40+Parametros!$B$14),0)</f>
        <v/>
      </c>
      <c r="W40" s="44">
        <f>IF(M40=1,((A40-3)/(Parametros!$B$16-3))*EXP(1-(A40-3)/(Parametros!$B$16-3)),0)</f>
        <v/>
      </c>
      <c r="X40" s="44">
        <f>W40+X39</f>
        <v/>
      </c>
      <c r="Y40" s="45">
        <f>W40/$B$9</f>
        <v/>
      </c>
      <c r="Z40" s="42">
        <f>S40*N40/(1+Parametros!$B$20)^A40</f>
        <v/>
      </c>
      <c r="AA40" s="41">
        <f>IF(AND(M40=1,O40*(1-Parametros!$B$13)&gt;=N40),1,0)</f>
        <v/>
      </c>
    </row>
    <row r="41">
      <c r="A41" s="41" t="n">
        <v>23</v>
      </c>
      <c r="B41" s="41">
        <f>IF(A41&lt;=Parametros!$B$10,1,0)</f>
        <v/>
      </c>
      <c r="C41" s="42">
        <f>IF(AND(A41&gt;=1,A41&lt;=Parametros!$B$10),$B$4,0)</f>
        <v/>
      </c>
      <c r="D41" s="42">
        <f>IF(A41&lt;=Parametros!$B$10,Parametros!$B$7*((1+Parametros!$B$8)^Parametros!$B$10-(1+Parametros!$B$8)^A41)/((1+Parametros!$B$8)^Parametros!$B$10-1),0)</f>
        <v/>
      </c>
      <c r="E41" s="42">
        <f>IF(AND(A41&gt;=1,A41&lt;=Parametros!$B$10),Parametros!$B$21/12*D40,0)</f>
        <v/>
      </c>
      <c r="F41" s="42">
        <f>C41-E41</f>
        <v/>
      </c>
      <c r="G41" s="42">
        <f>F41/(1+Parametros!$B$20)^A41+G40</f>
        <v/>
      </c>
      <c r="H41" s="42">
        <f>IF(AND(A41&gt;=1,A41&lt;=Parametros!$B$10),$B$5,0)</f>
        <v/>
      </c>
      <c r="I41" s="42">
        <f>IF(A41&lt;=Parametros!$B$10,Parametros!$B$7*((1+Parametros!$B$27)^Parametros!$B$10-(1+Parametros!$B$27)^A41)/((1+Parametros!$B$27)^Parametros!$B$10-1),0)</f>
        <v/>
      </c>
      <c r="J41" s="42">
        <f>IF(AND(A41&gt;=1,A41&lt;=Parametros!$B$10),Parametros!$B$21/12*I40,0)</f>
        <v/>
      </c>
      <c r="K41" s="42">
        <f>H41-J41</f>
        <v/>
      </c>
      <c r="L41" s="42">
        <f>K41/(1+Parametros!$B$20)^A41+L40</f>
        <v/>
      </c>
      <c r="M41" s="41">
        <f>IF(AND(A41&gt;=4,A41&lt;=Parametros!$B$10+3),1,0)</f>
        <v/>
      </c>
      <c r="N41" s="42">
        <f>IF(M41=1,INDEX($D$18:$D$81,A41-3),0)</f>
        <v/>
      </c>
      <c r="O41" s="42">
        <f>IF(M41=1,Parametros!$B$5*(1-Parametros!$B$12)*(1-Parametros!$B$11)^((A41+Parametros!$B$14)/12),0)</f>
        <v/>
      </c>
      <c r="P41" s="42">
        <f>N41*(1+Parametros!$B$8)^(3+Parametros!$B$14)</f>
        <v/>
      </c>
      <c r="Q41" s="42">
        <f>MIN(O41*(1-Parametros!$B$13),P41)</f>
        <v/>
      </c>
      <c r="R41" s="43">
        <f>IF(M41=1,MAX(0,1-Q41/(1+Parametros!$B$20)^Parametros!$B$14/N41),0)</f>
        <v/>
      </c>
      <c r="S41" s="43">
        <f>IF(M41=1,Parametros!$B$15*R41+(1-Parametros!$B$15),0)</f>
        <v/>
      </c>
      <c r="T41" s="42">
        <f>IF(M41=1,-Parametros!$B$7-Parametros!$B$22+INDEX($G$18:$G$81,A41-3)+Parametros!$B$15*Q41/(1+Parametros!$B$20)^(A41+Parametros!$B$14),0)</f>
        <v/>
      </c>
      <c r="U41" s="42">
        <f>IF(M41=1,INDEX($I$18:$I$81,A41-3),0)</f>
        <v/>
      </c>
      <c r="V41" s="42">
        <f>IF(M41=1,-Parametros!$B$7-Parametros!$B$22+INDEX($L$18:$L$81,A41-3)+Parametros!$B$15*MIN(O41*(1-Parametros!$B$13),U41*(1+Parametros!$B$27)^(3+Parametros!$B$14))/(1+Parametros!$B$20)^(A41+Parametros!$B$14),0)</f>
        <v/>
      </c>
      <c r="W41" s="44">
        <f>IF(M41=1,((A41-3)/(Parametros!$B$16-3))*EXP(1-(A41-3)/(Parametros!$B$16-3)),0)</f>
        <v/>
      </c>
      <c r="X41" s="44">
        <f>W41+X40</f>
        <v/>
      </c>
      <c r="Y41" s="45">
        <f>W41/$B$9</f>
        <v/>
      </c>
      <c r="Z41" s="42">
        <f>S41*N41/(1+Parametros!$B$20)^A41</f>
        <v/>
      </c>
      <c r="AA41" s="41">
        <f>IF(AND(M41=1,O41*(1-Parametros!$B$13)&gt;=N41),1,0)</f>
        <v/>
      </c>
    </row>
    <row r="42">
      <c r="A42" s="41" t="n">
        <v>24</v>
      </c>
      <c r="B42" s="41">
        <f>IF(A42&lt;=Parametros!$B$10,1,0)</f>
        <v/>
      </c>
      <c r="C42" s="42">
        <f>IF(AND(A42&gt;=1,A42&lt;=Parametros!$B$10),$B$4,0)</f>
        <v/>
      </c>
      <c r="D42" s="42">
        <f>IF(A42&lt;=Parametros!$B$10,Parametros!$B$7*((1+Parametros!$B$8)^Parametros!$B$10-(1+Parametros!$B$8)^A42)/((1+Parametros!$B$8)^Parametros!$B$10-1),0)</f>
        <v/>
      </c>
      <c r="E42" s="42">
        <f>IF(AND(A42&gt;=1,A42&lt;=Parametros!$B$10),Parametros!$B$21/12*D41,0)</f>
        <v/>
      </c>
      <c r="F42" s="42">
        <f>C42-E42</f>
        <v/>
      </c>
      <c r="G42" s="42">
        <f>F42/(1+Parametros!$B$20)^A42+G41</f>
        <v/>
      </c>
      <c r="H42" s="42">
        <f>IF(AND(A42&gt;=1,A42&lt;=Parametros!$B$10),$B$5,0)</f>
        <v/>
      </c>
      <c r="I42" s="42">
        <f>IF(A42&lt;=Parametros!$B$10,Parametros!$B$7*((1+Parametros!$B$27)^Parametros!$B$10-(1+Parametros!$B$27)^A42)/((1+Parametros!$B$27)^Parametros!$B$10-1),0)</f>
        <v/>
      </c>
      <c r="J42" s="42">
        <f>IF(AND(A42&gt;=1,A42&lt;=Parametros!$B$10),Parametros!$B$21/12*I41,0)</f>
        <v/>
      </c>
      <c r="K42" s="42">
        <f>H42-J42</f>
        <v/>
      </c>
      <c r="L42" s="42">
        <f>K42/(1+Parametros!$B$20)^A42+L41</f>
        <v/>
      </c>
      <c r="M42" s="41">
        <f>IF(AND(A42&gt;=4,A42&lt;=Parametros!$B$10+3),1,0)</f>
        <v/>
      </c>
      <c r="N42" s="42">
        <f>IF(M42=1,INDEX($D$18:$D$81,A42-3),0)</f>
        <v/>
      </c>
      <c r="O42" s="42">
        <f>IF(M42=1,Parametros!$B$5*(1-Parametros!$B$12)*(1-Parametros!$B$11)^((A42+Parametros!$B$14)/12),0)</f>
        <v/>
      </c>
      <c r="P42" s="42">
        <f>N42*(1+Parametros!$B$8)^(3+Parametros!$B$14)</f>
        <v/>
      </c>
      <c r="Q42" s="42">
        <f>MIN(O42*(1-Parametros!$B$13),P42)</f>
        <v/>
      </c>
      <c r="R42" s="43">
        <f>IF(M42=1,MAX(0,1-Q42/(1+Parametros!$B$20)^Parametros!$B$14/N42),0)</f>
        <v/>
      </c>
      <c r="S42" s="43">
        <f>IF(M42=1,Parametros!$B$15*R42+(1-Parametros!$B$15),0)</f>
        <v/>
      </c>
      <c r="T42" s="42">
        <f>IF(M42=1,-Parametros!$B$7-Parametros!$B$22+INDEX($G$18:$G$81,A42-3)+Parametros!$B$15*Q42/(1+Parametros!$B$20)^(A42+Parametros!$B$14),0)</f>
        <v/>
      </c>
      <c r="U42" s="42">
        <f>IF(M42=1,INDEX($I$18:$I$81,A42-3),0)</f>
        <v/>
      </c>
      <c r="V42" s="42">
        <f>IF(M42=1,-Parametros!$B$7-Parametros!$B$22+INDEX($L$18:$L$81,A42-3)+Parametros!$B$15*MIN(O42*(1-Parametros!$B$13),U42*(1+Parametros!$B$27)^(3+Parametros!$B$14))/(1+Parametros!$B$20)^(A42+Parametros!$B$14),0)</f>
        <v/>
      </c>
      <c r="W42" s="44">
        <f>IF(M42=1,((A42-3)/(Parametros!$B$16-3))*EXP(1-(A42-3)/(Parametros!$B$16-3)),0)</f>
        <v/>
      </c>
      <c r="X42" s="44">
        <f>W42+X41</f>
        <v/>
      </c>
      <c r="Y42" s="45">
        <f>W42/$B$9</f>
        <v/>
      </c>
      <c r="Z42" s="42">
        <f>S42*N42/(1+Parametros!$B$20)^A42</f>
        <v/>
      </c>
      <c r="AA42" s="41">
        <f>IF(AND(M42=1,O42*(1-Parametros!$B$13)&gt;=N42),1,0)</f>
        <v/>
      </c>
    </row>
    <row r="43">
      <c r="A43" s="41" t="n">
        <v>25</v>
      </c>
      <c r="B43" s="41">
        <f>IF(A43&lt;=Parametros!$B$10,1,0)</f>
        <v/>
      </c>
      <c r="C43" s="42">
        <f>IF(AND(A43&gt;=1,A43&lt;=Parametros!$B$10),$B$4,0)</f>
        <v/>
      </c>
      <c r="D43" s="42">
        <f>IF(A43&lt;=Parametros!$B$10,Parametros!$B$7*((1+Parametros!$B$8)^Parametros!$B$10-(1+Parametros!$B$8)^A43)/((1+Parametros!$B$8)^Parametros!$B$10-1),0)</f>
        <v/>
      </c>
      <c r="E43" s="42">
        <f>IF(AND(A43&gt;=1,A43&lt;=Parametros!$B$10),Parametros!$B$21/12*D42,0)</f>
        <v/>
      </c>
      <c r="F43" s="42">
        <f>C43-E43</f>
        <v/>
      </c>
      <c r="G43" s="42">
        <f>F43/(1+Parametros!$B$20)^A43+G42</f>
        <v/>
      </c>
      <c r="H43" s="42">
        <f>IF(AND(A43&gt;=1,A43&lt;=Parametros!$B$10),$B$5,0)</f>
        <v/>
      </c>
      <c r="I43" s="42">
        <f>IF(A43&lt;=Parametros!$B$10,Parametros!$B$7*((1+Parametros!$B$27)^Parametros!$B$10-(1+Parametros!$B$27)^A43)/((1+Parametros!$B$27)^Parametros!$B$10-1),0)</f>
        <v/>
      </c>
      <c r="J43" s="42">
        <f>IF(AND(A43&gt;=1,A43&lt;=Parametros!$B$10),Parametros!$B$21/12*I42,0)</f>
        <v/>
      </c>
      <c r="K43" s="42">
        <f>H43-J43</f>
        <v/>
      </c>
      <c r="L43" s="42">
        <f>K43/(1+Parametros!$B$20)^A43+L42</f>
        <v/>
      </c>
      <c r="M43" s="41">
        <f>IF(AND(A43&gt;=4,A43&lt;=Parametros!$B$10+3),1,0)</f>
        <v/>
      </c>
      <c r="N43" s="42">
        <f>IF(M43=1,INDEX($D$18:$D$81,A43-3),0)</f>
        <v/>
      </c>
      <c r="O43" s="42">
        <f>IF(M43=1,Parametros!$B$5*(1-Parametros!$B$12)*(1-Parametros!$B$11)^((A43+Parametros!$B$14)/12),0)</f>
        <v/>
      </c>
      <c r="P43" s="42">
        <f>N43*(1+Parametros!$B$8)^(3+Parametros!$B$14)</f>
        <v/>
      </c>
      <c r="Q43" s="42">
        <f>MIN(O43*(1-Parametros!$B$13),P43)</f>
        <v/>
      </c>
      <c r="R43" s="43">
        <f>IF(M43=1,MAX(0,1-Q43/(1+Parametros!$B$20)^Parametros!$B$14/N43),0)</f>
        <v/>
      </c>
      <c r="S43" s="43">
        <f>IF(M43=1,Parametros!$B$15*R43+(1-Parametros!$B$15),0)</f>
        <v/>
      </c>
      <c r="T43" s="42">
        <f>IF(M43=1,-Parametros!$B$7-Parametros!$B$22+INDEX($G$18:$G$81,A43-3)+Parametros!$B$15*Q43/(1+Parametros!$B$20)^(A43+Parametros!$B$14),0)</f>
        <v/>
      </c>
      <c r="U43" s="42">
        <f>IF(M43=1,INDEX($I$18:$I$81,A43-3),0)</f>
        <v/>
      </c>
      <c r="V43" s="42">
        <f>IF(M43=1,-Parametros!$B$7-Parametros!$B$22+INDEX($L$18:$L$81,A43-3)+Parametros!$B$15*MIN(O43*(1-Parametros!$B$13),U43*(1+Parametros!$B$27)^(3+Parametros!$B$14))/(1+Parametros!$B$20)^(A43+Parametros!$B$14),0)</f>
        <v/>
      </c>
      <c r="W43" s="44">
        <f>IF(M43=1,((A43-3)/(Parametros!$B$16-3))*EXP(1-(A43-3)/(Parametros!$B$16-3)),0)</f>
        <v/>
      </c>
      <c r="X43" s="44">
        <f>W43+X42</f>
        <v/>
      </c>
      <c r="Y43" s="45">
        <f>W43/$B$9</f>
        <v/>
      </c>
      <c r="Z43" s="42">
        <f>S43*N43/(1+Parametros!$B$20)^A43</f>
        <v/>
      </c>
      <c r="AA43" s="41">
        <f>IF(AND(M43=1,O43*(1-Parametros!$B$13)&gt;=N43),1,0)</f>
        <v/>
      </c>
    </row>
    <row r="44">
      <c r="A44" s="41" t="n">
        <v>26</v>
      </c>
      <c r="B44" s="41">
        <f>IF(A44&lt;=Parametros!$B$10,1,0)</f>
        <v/>
      </c>
      <c r="C44" s="42">
        <f>IF(AND(A44&gt;=1,A44&lt;=Parametros!$B$10),$B$4,0)</f>
        <v/>
      </c>
      <c r="D44" s="42">
        <f>IF(A44&lt;=Parametros!$B$10,Parametros!$B$7*((1+Parametros!$B$8)^Parametros!$B$10-(1+Parametros!$B$8)^A44)/((1+Parametros!$B$8)^Parametros!$B$10-1),0)</f>
        <v/>
      </c>
      <c r="E44" s="42">
        <f>IF(AND(A44&gt;=1,A44&lt;=Parametros!$B$10),Parametros!$B$21/12*D43,0)</f>
        <v/>
      </c>
      <c r="F44" s="42">
        <f>C44-E44</f>
        <v/>
      </c>
      <c r="G44" s="42">
        <f>F44/(1+Parametros!$B$20)^A44+G43</f>
        <v/>
      </c>
      <c r="H44" s="42">
        <f>IF(AND(A44&gt;=1,A44&lt;=Parametros!$B$10),$B$5,0)</f>
        <v/>
      </c>
      <c r="I44" s="42">
        <f>IF(A44&lt;=Parametros!$B$10,Parametros!$B$7*((1+Parametros!$B$27)^Parametros!$B$10-(1+Parametros!$B$27)^A44)/((1+Parametros!$B$27)^Parametros!$B$10-1),0)</f>
        <v/>
      </c>
      <c r="J44" s="42">
        <f>IF(AND(A44&gt;=1,A44&lt;=Parametros!$B$10),Parametros!$B$21/12*I43,0)</f>
        <v/>
      </c>
      <c r="K44" s="42">
        <f>H44-J44</f>
        <v/>
      </c>
      <c r="L44" s="42">
        <f>K44/(1+Parametros!$B$20)^A44+L43</f>
        <v/>
      </c>
      <c r="M44" s="41">
        <f>IF(AND(A44&gt;=4,A44&lt;=Parametros!$B$10+3),1,0)</f>
        <v/>
      </c>
      <c r="N44" s="42">
        <f>IF(M44=1,INDEX($D$18:$D$81,A44-3),0)</f>
        <v/>
      </c>
      <c r="O44" s="42">
        <f>IF(M44=1,Parametros!$B$5*(1-Parametros!$B$12)*(1-Parametros!$B$11)^((A44+Parametros!$B$14)/12),0)</f>
        <v/>
      </c>
      <c r="P44" s="42">
        <f>N44*(1+Parametros!$B$8)^(3+Parametros!$B$14)</f>
        <v/>
      </c>
      <c r="Q44" s="42">
        <f>MIN(O44*(1-Parametros!$B$13),P44)</f>
        <v/>
      </c>
      <c r="R44" s="43">
        <f>IF(M44=1,MAX(0,1-Q44/(1+Parametros!$B$20)^Parametros!$B$14/N44),0)</f>
        <v/>
      </c>
      <c r="S44" s="43">
        <f>IF(M44=1,Parametros!$B$15*R44+(1-Parametros!$B$15),0)</f>
        <v/>
      </c>
      <c r="T44" s="42">
        <f>IF(M44=1,-Parametros!$B$7-Parametros!$B$22+INDEX($G$18:$G$81,A44-3)+Parametros!$B$15*Q44/(1+Parametros!$B$20)^(A44+Parametros!$B$14),0)</f>
        <v/>
      </c>
      <c r="U44" s="42">
        <f>IF(M44=1,INDEX($I$18:$I$81,A44-3),0)</f>
        <v/>
      </c>
      <c r="V44" s="42">
        <f>IF(M44=1,-Parametros!$B$7-Parametros!$B$22+INDEX($L$18:$L$81,A44-3)+Parametros!$B$15*MIN(O44*(1-Parametros!$B$13),U44*(1+Parametros!$B$27)^(3+Parametros!$B$14))/(1+Parametros!$B$20)^(A44+Parametros!$B$14),0)</f>
        <v/>
      </c>
      <c r="W44" s="44">
        <f>IF(M44=1,((A44-3)/(Parametros!$B$16-3))*EXP(1-(A44-3)/(Parametros!$B$16-3)),0)</f>
        <v/>
      </c>
      <c r="X44" s="44">
        <f>W44+X43</f>
        <v/>
      </c>
      <c r="Y44" s="45">
        <f>W44/$B$9</f>
        <v/>
      </c>
      <c r="Z44" s="42">
        <f>S44*N44/(1+Parametros!$B$20)^A44</f>
        <v/>
      </c>
      <c r="AA44" s="41">
        <f>IF(AND(M44=1,O44*(1-Parametros!$B$13)&gt;=N44),1,0)</f>
        <v/>
      </c>
    </row>
    <row r="45">
      <c r="A45" s="41" t="n">
        <v>27</v>
      </c>
      <c r="B45" s="41">
        <f>IF(A45&lt;=Parametros!$B$10,1,0)</f>
        <v/>
      </c>
      <c r="C45" s="42">
        <f>IF(AND(A45&gt;=1,A45&lt;=Parametros!$B$10),$B$4,0)</f>
        <v/>
      </c>
      <c r="D45" s="42">
        <f>IF(A45&lt;=Parametros!$B$10,Parametros!$B$7*((1+Parametros!$B$8)^Parametros!$B$10-(1+Parametros!$B$8)^A45)/((1+Parametros!$B$8)^Parametros!$B$10-1),0)</f>
        <v/>
      </c>
      <c r="E45" s="42">
        <f>IF(AND(A45&gt;=1,A45&lt;=Parametros!$B$10),Parametros!$B$21/12*D44,0)</f>
        <v/>
      </c>
      <c r="F45" s="42">
        <f>C45-E45</f>
        <v/>
      </c>
      <c r="G45" s="42">
        <f>F45/(1+Parametros!$B$20)^A45+G44</f>
        <v/>
      </c>
      <c r="H45" s="42">
        <f>IF(AND(A45&gt;=1,A45&lt;=Parametros!$B$10),$B$5,0)</f>
        <v/>
      </c>
      <c r="I45" s="42">
        <f>IF(A45&lt;=Parametros!$B$10,Parametros!$B$7*((1+Parametros!$B$27)^Parametros!$B$10-(1+Parametros!$B$27)^A45)/((1+Parametros!$B$27)^Parametros!$B$10-1),0)</f>
        <v/>
      </c>
      <c r="J45" s="42">
        <f>IF(AND(A45&gt;=1,A45&lt;=Parametros!$B$10),Parametros!$B$21/12*I44,0)</f>
        <v/>
      </c>
      <c r="K45" s="42">
        <f>H45-J45</f>
        <v/>
      </c>
      <c r="L45" s="42">
        <f>K45/(1+Parametros!$B$20)^A45+L44</f>
        <v/>
      </c>
      <c r="M45" s="41">
        <f>IF(AND(A45&gt;=4,A45&lt;=Parametros!$B$10+3),1,0)</f>
        <v/>
      </c>
      <c r="N45" s="42">
        <f>IF(M45=1,INDEX($D$18:$D$81,A45-3),0)</f>
        <v/>
      </c>
      <c r="O45" s="42">
        <f>IF(M45=1,Parametros!$B$5*(1-Parametros!$B$12)*(1-Parametros!$B$11)^((A45+Parametros!$B$14)/12),0)</f>
        <v/>
      </c>
      <c r="P45" s="42">
        <f>N45*(1+Parametros!$B$8)^(3+Parametros!$B$14)</f>
        <v/>
      </c>
      <c r="Q45" s="42">
        <f>MIN(O45*(1-Parametros!$B$13),P45)</f>
        <v/>
      </c>
      <c r="R45" s="43">
        <f>IF(M45=1,MAX(0,1-Q45/(1+Parametros!$B$20)^Parametros!$B$14/N45),0)</f>
        <v/>
      </c>
      <c r="S45" s="43">
        <f>IF(M45=1,Parametros!$B$15*R45+(1-Parametros!$B$15),0)</f>
        <v/>
      </c>
      <c r="T45" s="42">
        <f>IF(M45=1,-Parametros!$B$7-Parametros!$B$22+INDEX($G$18:$G$81,A45-3)+Parametros!$B$15*Q45/(1+Parametros!$B$20)^(A45+Parametros!$B$14),0)</f>
        <v/>
      </c>
      <c r="U45" s="42">
        <f>IF(M45=1,INDEX($I$18:$I$81,A45-3),0)</f>
        <v/>
      </c>
      <c r="V45" s="42">
        <f>IF(M45=1,-Parametros!$B$7-Parametros!$B$22+INDEX($L$18:$L$81,A45-3)+Parametros!$B$15*MIN(O45*(1-Parametros!$B$13),U45*(1+Parametros!$B$27)^(3+Parametros!$B$14))/(1+Parametros!$B$20)^(A45+Parametros!$B$14),0)</f>
        <v/>
      </c>
      <c r="W45" s="44">
        <f>IF(M45=1,((A45-3)/(Parametros!$B$16-3))*EXP(1-(A45-3)/(Parametros!$B$16-3)),0)</f>
        <v/>
      </c>
      <c r="X45" s="44">
        <f>W45+X44</f>
        <v/>
      </c>
      <c r="Y45" s="45">
        <f>W45/$B$9</f>
        <v/>
      </c>
      <c r="Z45" s="42">
        <f>S45*N45/(1+Parametros!$B$20)^A45</f>
        <v/>
      </c>
      <c r="AA45" s="41">
        <f>IF(AND(M45=1,O45*(1-Parametros!$B$13)&gt;=N45),1,0)</f>
        <v/>
      </c>
    </row>
    <row r="46">
      <c r="A46" s="41" t="n">
        <v>28</v>
      </c>
      <c r="B46" s="41">
        <f>IF(A46&lt;=Parametros!$B$10,1,0)</f>
        <v/>
      </c>
      <c r="C46" s="42">
        <f>IF(AND(A46&gt;=1,A46&lt;=Parametros!$B$10),$B$4,0)</f>
        <v/>
      </c>
      <c r="D46" s="42">
        <f>IF(A46&lt;=Parametros!$B$10,Parametros!$B$7*((1+Parametros!$B$8)^Parametros!$B$10-(1+Parametros!$B$8)^A46)/((1+Parametros!$B$8)^Parametros!$B$10-1),0)</f>
        <v/>
      </c>
      <c r="E46" s="42">
        <f>IF(AND(A46&gt;=1,A46&lt;=Parametros!$B$10),Parametros!$B$21/12*D45,0)</f>
        <v/>
      </c>
      <c r="F46" s="42">
        <f>C46-E46</f>
        <v/>
      </c>
      <c r="G46" s="42">
        <f>F46/(1+Parametros!$B$20)^A46+G45</f>
        <v/>
      </c>
      <c r="H46" s="42">
        <f>IF(AND(A46&gt;=1,A46&lt;=Parametros!$B$10),$B$5,0)</f>
        <v/>
      </c>
      <c r="I46" s="42">
        <f>IF(A46&lt;=Parametros!$B$10,Parametros!$B$7*((1+Parametros!$B$27)^Parametros!$B$10-(1+Parametros!$B$27)^A46)/((1+Parametros!$B$27)^Parametros!$B$10-1),0)</f>
        <v/>
      </c>
      <c r="J46" s="42">
        <f>IF(AND(A46&gt;=1,A46&lt;=Parametros!$B$10),Parametros!$B$21/12*I45,0)</f>
        <v/>
      </c>
      <c r="K46" s="42">
        <f>H46-J46</f>
        <v/>
      </c>
      <c r="L46" s="42">
        <f>K46/(1+Parametros!$B$20)^A46+L45</f>
        <v/>
      </c>
      <c r="M46" s="41">
        <f>IF(AND(A46&gt;=4,A46&lt;=Parametros!$B$10+3),1,0)</f>
        <v/>
      </c>
      <c r="N46" s="42">
        <f>IF(M46=1,INDEX($D$18:$D$81,A46-3),0)</f>
        <v/>
      </c>
      <c r="O46" s="42">
        <f>IF(M46=1,Parametros!$B$5*(1-Parametros!$B$12)*(1-Parametros!$B$11)^((A46+Parametros!$B$14)/12),0)</f>
        <v/>
      </c>
      <c r="P46" s="42">
        <f>N46*(1+Parametros!$B$8)^(3+Parametros!$B$14)</f>
        <v/>
      </c>
      <c r="Q46" s="42">
        <f>MIN(O46*(1-Parametros!$B$13),P46)</f>
        <v/>
      </c>
      <c r="R46" s="43">
        <f>IF(M46=1,MAX(0,1-Q46/(1+Parametros!$B$20)^Parametros!$B$14/N46),0)</f>
        <v/>
      </c>
      <c r="S46" s="43">
        <f>IF(M46=1,Parametros!$B$15*R46+(1-Parametros!$B$15),0)</f>
        <v/>
      </c>
      <c r="T46" s="42">
        <f>IF(M46=1,-Parametros!$B$7-Parametros!$B$22+INDEX($G$18:$G$81,A46-3)+Parametros!$B$15*Q46/(1+Parametros!$B$20)^(A46+Parametros!$B$14),0)</f>
        <v/>
      </c>
      <c r="U46" s="42">
        <f>IF(M46=1,INDEX($I$18:$I$81,A46-3),0)</f>
        <v/>
      </c>
      <c r="V46" s="42">
        <f>IF(M46=1,-Parametros!$B$7-Parametros!$B$22+INDEX($L$18:$L$81,A46-3)+Parametros!$B$15*MIN(O46*(1-Parametros!$B$13),U46*(1+Parametros!$B$27)^(3+Parametros!$B$14))/(1+Parametros!$B$20)^(A46+Parametros!$B$14),0)</f>
        <v/>
      </c>
      <c r="W46" s="44">
        <f>IF(M46=1,((A46-3)/(Parametros!$B$16-3))*EXP(1-(A46-3)/(Parametros!$B$16-3)),0)</f>
        <v/>
      </c>
      <c r="X46" s="44">
        <f>W46+X45</f>
        <v/>
      </c>
      <c r="Y46" s="45">
        <f>W46/$B$9</f>
        <v/>
      </c>
      <c r="Z46" s="42">
        <f>S46*N46/(1+Parametros!$B$20)^A46</f>
        <v/>
      </c>
      <c r="AA46" s="41">
        <f>IF(AND(M46=1,O46*(1-Parametros!$B$13)&gt;=N46),1,0)</f>
        <v/>
      </c>
    </row>
    <row r="47">
      <c r="A47" s="41" t="n">
        <v>29</v>
      </c>
      <c r="B47" s="41">
        <f>IF(A47&lt;=Parametros!$B$10,1,0)</f>
        <v/>
      </c>
      <c r="C47" s="42">
        <f>IF(AND(A47&gt;=1,A47&lt;=Parametros!$B$10),$B$4,0)</f>
        <v/>
      </c>
      <c r="D47" s="42">
        <f>IF(A47&lt;=Parametros!$B$10,Parametros!$B$7*((1+Parametros!$B$8)^Parametros!$B$10-(1+Parametros!$B$8)^A47)/((1+Parametros!$B$8)^Parametros!$B$10-1),0)</f>
        <v/>
      </c>
      <c r="E47" s="42">
        <f>IF(AND(A47&gt;=1,A47&lt;=Parametros!$B$10),Parametros!$B$21/12*D46,0)</f>
        <v/>
      </c>
      <c r="F47" s="42">
        <f>C47-E47</f>
        <v/>
      </c>
      <c r="G47" s="42">
        <f>F47/(1+Parametros!$B$20)^A47+G46</f>
        <v/>
      </c>
      <c r="H47" s="42">
        <f>IF(AND(A47&gt;=1,A47&lt;=Parametros!$B$10),$B$5,0)</f>
        <v/>
      </c>
      <c r="I47" s="42">
        <f>IF(A47&lt;=Parametros!$B$10,Parametros!$B$7*((1+Parametros!$B$27)^Parametros!$B$10-(1+Parametros!$B$27)^A47)/((1+Parametros!$B$27)^Parametros!$B$10-1),0)</f>
        <v/>
      </c>
      <c r="J47" s="42">
        <f>IF(AND(A47&gt;=1,A47&lt;=Parametros!$B$10),Parametros!$B$21/12*I46,0)</f>
        <v/>
      </c>
      <c r="K47" s="42">
        <f>H47-J47</f>
        <v/>
      </c>
      <c r="L47" s="42">
        <f>K47/(1+Parametros!$B$20)^A47+L46</f>
        <v/>
      </c>
      <c r="M47" s="41">
        <f>IF(AND(A47&gt;=4,A47&lt;=Parametros!$B$10+3),1,0)</f>
        <v/>
      </c>
      <c r="N47" s="42">
        <f>IF(M47=1,INDEX($D$18:$D$81,A47-3),0)</f>
        <v/>
      </c>
      <c r="O47" s="42">
        <f>IF(M47=1,Parametros!$B$5*(1-Parametros!$B$12)*(1-Parametros!$B$11)^((A47+Parametros!$B$14)/12),0)</f>
        <v/>
      </c>
      <c r="P47" s="42">
        <f>N47*(1+Parametros!$B$8)^(3+Parametros!$B$14)</f>
        <v/>
      </c>
      <c r="Q47" s="42">
        <f>MIN(O47*(1-Parametros!$B$13),P47)</f>
        <v/>
      </c>
      <c r="R47" s="43">
        <f>IF(M47=1,MAX(0,1-Q47/(1+Parametros!$B$20)^Parametros!$B$14/N47),0)</f>
        <v/>
      </c>
      <c r="S47" s="43">
        <f>IF(M47=1,Parametros!$B$15*R47+(1-Parametros!$B$15),0)</f>
        <v/>
      </c>
      <c r="T47" s="42">
        <f>IF(M47=1,-Parametros!$B$7-Parametros!$B$22+INDEX($G$18:$G$81,A47-3)+Parametros!$B$15*Q47/(1+Parametros!$B$20)^(A47+Parametros!$B$14),0)</f>
        <v/>
      </c>
      <c r="U47" s="42">
        <f>IF(M47=1,INDEX($I$18:$I$81,A47-3),0)</f>
        <v/>
      </c>
      <c r="V47" s="42">
        <f>IF(M47=1,-Parametros!$B$7-Parametros!$B$22+INDEX($L$18:$L$81,A47-3)+Parametros!$B$15*MIN(O47*(1-Parametros!$B$13),U47*(1+Parametros!$B$27)^(3+Parametros!$B$14))/(1+Parametros!$B$20)^(A47+Parametros!$B$14),0)</f>
        <v/>
      </c>
      <c r="W47" s="44">
        <f>IF(M47=1,((A47-3)/(Parametros!$B$16-3))*EXP(1-(A47-3)/(Parametros!$B$16-3)),0)</f>
        <v/>
      </c>
      <c r="X47" s="44">
        <f>W47+X46</f>
        <v/>
      </c>
      <c r="Y47" s="45">
        <f>W47/$B$9</f>
        <v/>
      </c>
      <c r="Z47" s="42">
        <f>S47*N47/(1+Parametros!$B$20)^A47</f>
        <v/>
      </c>
      <c r="AA47" s="41">
        <f>IF(AND(M47=1,O47*(1-Parametros!$B$13)&gt;=N47),1,0)</f>
        <v/>
      </c>
    </row>
    <row r="48">
      <c r="A48" s="41" t="n">
        <v>30</v>
      </c>
      <c r="B48" s="41">
        <f>IF(A48&lt;=Parametros!$B$10,1,0)</f>
        <v/>
      </c>
      <c r="C48" s="42">
        <f>IF(AND(A48&gt;=1,A48&lt;=Parametros!$B$10),$B$4,0)</f>
        <v/>
      </c>
      <c r="D48" s="42">
        <f>IF(A48&lt;=Parametros!$B$10,Parametros!$B$7*((1+Parametros!$B$8)^Parametros!$B$10-(1+Parametros!$B$8)^A48)/((1+Parametros!$B$8)^Parametros!$B$10-1),0)</f>
        <v/>
      </c>
      <c r="E48" s="42">
        <f>IF(AND(A48&gt;=1,A48&lt;=Parametros!$B$10),Parametros!$B$21/12*D47,0)</f>
        <v/>
      </c>
      <c r="F48" s="42">
        <f>C48-E48</f>
        <v/>
      </c>
      <c r="G48" s="42">
        <f>F48/(1+Parametros!$B$20)^A48+G47</f>
        <v/>
      </c>
      <c r="H48" s="42">
        <f>IF(AND(A48&gt;=1,A48&lt;=Parametros!$B$10),$B$5,0)</f>
        <v/>
      </c>
      <c r="I48" s="42">
        <f>IF(A48&lt;=Parametros!$B$10,Parametros!$B$7*((1+Parametros!$B$27)^Parametros!$B$10-(1+Parametros!$B$27)^A48)/((1+Parametros!$B$27)^Parametros!$B$10-1),0)</f>
        <v/>
      </c>
      <c r="J48" s="42">
        <f>IF(AND(A48&gt;=1,A48&lt;=Parametros!$B$10),Parametros!$B$21/12*I47,0)</f>
        <v/>
      </c>
      <c r="K48" s="42">
        <f>H48-J48</f>
        <v/>
      </c>
      <c r="L48" s="42">
        <f>K48/(1+Parametros!$B$20)^A48+L47</f>
        <v/>
      </c>
      <c r="M48" s="41">
        <f>IF(AND(A48&gt;=4,A48&lt;=Parametros!$B$10+3),1,0)</f>
        <v/>
      </c>
      <c r="N48" s="42">
        <f>IF(M48=1,INDEX($D$18:$D$81,A48-3),0)</f>
        <v/>
      </c>
      <c r="O48" s="42">
        <f>IF(M48=1,Parametros!$B$5*(1-Parametros!$B$12)*(1-Parametros!$B$11)^((A48+Parametros!$B$14)/12),0)</f>
        <v/>
      </c>
      <c r="P48" s="42">
        <f>N48*(1+Parametros!$B$8)^(3+Parametros!$B$14)</f>
        <v/>
      </c>
      <c r="Q48" s="42">
        <f>MIN(O48*(1-Parametros!$B$13),P48)</f>
        <v/>
      </c>
      <c r="R48" s="43">
        <f>IF(M48=1,MAX(0,1-Q48/(1+Parametros!$B$20)^Parametros!$B$14/N48),0)</f>
        <v/>
      </c>
      <c r="S48" s="43">
        <f>IF(M48=1,Parametros!$B$15*R48+(1-Parametros!$B$15),0)</f>
        <v/>
      </c>
      <c r="T48" s="42">
        <f>IF(M48=1,-Parametros!$B$7-Parametros!$B$22+INDEX($G$18:$G$81,A48-3)+Parametros!$B$15*Q48/(1+Parametros!$B$20)^(A48+Parametros!$B$14),0)</f>
        <v/>
      </c>
      <c r="U48" s="42">
        <f>IF(M48=1,INDEX($I$18:$I$81,A48-3),0)</f>
        <v/>
      </c>
      <c r="V48" s="42">
        <f>IF(M48=1,-Parametros!$B$7-Parametros!$B$22+INDEX($L$18:$L$81,A48-3)+Parametros!$B$15*MIN(O48*(1-Parametros!$B$13),U48*(1+Parametros!$B$27)^(3+Parametros!$B$14))/(1+Parametros!$B$20)^(A48+Parametros!$B$14),0)</f>
        <v/>
      </c>
      <c r="W48" s="44">
        <f>IF(M48=1,((A48-3)/(Parametros!$B$16-3))*EXP(1-(A48-3)/(Parametros!$B$16-3)),0)</f>
        <v/>
      </c>
      <c r="X48" s="44">
        <f>W48+X47</f>
        <v/>
      </c>
      <c r="Y48" s="45">
        <f>W48/$B$9</f>
        <v/>
      </c>
      <c r="Z48" s="42">
        <f>S48*N48/(1+Parametros!$B$20)^A48</f>
        <v/>
      </c>
      <c r="AA48" s="41">
        <f>IF(AND(M48=1,O48*(1-Parametros!$B$13)&gt;=N48),1,0)</f>
        <v/>
      </c>
    </row>
    <row r="49">
      <c r="A49" s="41" t="n">
        <v>31</v>
      </c>
      <c r="B49" s="41">
        <f>IF(A49&lt;=Parametros!$B$10,1,0)</f>
        <v/>
      </c>
      <c r="C49" s="42">
        <f>IF(AND(A49&gt;=1,A49&lt;=Parametros!$B$10),$B$4,0)</f>
        <v/>
      </c>
      <c r="D49" s="42">
        <f>IF(A49&lt;=Parametros!$B$10,Parametros!$B$7*((1+Parametros!$B$8)^Parametros!$B$10-(1+Parametros!$B$8)^A49)/((1+Parametros!$B$8)^Parametros!$B$10-1),0)</f>
        <v/>
      </c>
      <c r="E49" s="42">
        <f>IF(AND(A49&gt;=1,A49&lt;=Parametros!$B$10),Parametros!$B$21/12*D48,0)</f>
        <v/>
      </c>
      <c r="F49" s="42">
        <f>C49-E49</f>
        <v/>
      </c>
      <c r="G49" s="42">
        <f>F49/(1+Parametros!$B$20)^A49+G48</f>
        <v/>
      </c>
      <c r="H49" s="42">
        <f>IF(AND(A49&gt;=1,A49&lt;=Parametros!$B$10),$B$5,0)</f>
        <v/>
      </c>
      <c r="I49" s="42">
        <f>IF(A49&lt;=Parametros!$B$10,Parametros!$B$7*((1+Parametros!$B$27)^Parametros!$B$10-(1+Parametros!$B$27)^A49)/((1+Parametros!$B$27)^Parametros!$B$10-1),0)</f>
        <v/>
      </c>
      <c r="J49" s="42">
        <f>IF(AND(A49&gt;=1,A49&lt;=Parametros!$B$10),Parametros!$B$21/12*I48,0)</f>
        <v/>
      </c>
      <c r="K49" s="42">
        <f>H49-J49</f>
        <v/>
      </c>
      <c r="L49" s="42">
        <f>K49/(1+Parametros!$B$20)^A49+L48</f>
        <v/>
      </c>
      <c r="M49" s="41">
        <f>IF(AND(A49&gt;=4,A49&lt;=Parametros!$B$10+3),1,0)</f>
        <v/>
      </c>
      <c r="N49" s="42">
        <f>IF(M49=1,INDEX($D$18:$D$81,A49-3),0)</f>
        <v/>
      </c>
      <c r="O49" s="42">
        <f>IF(M49=1,Parametros!$B$5*(1-Parametros!$B$12)*(1-Parametros!$B$11)^((A49+Parametros!$B$14)/12),0)</f>
        <v/>
      </c>
      <c r="P49" s="42">
        <f>N49*(1+Parametros!$B$8)^(3+Parametros!$B$14)</f>
        <v/>
      </c>
      <c r="Q49" s="42">
        <f>MIN(O49*(1-Parametros!$B$13),P49)</f>
        <v/>
      </c>
      <c r="R49" s="43">
        <f>IF(M49=1,MAX(0,1-Q49/(1+Parametros!$B$20)^Parametros!$B$14/N49),0)</f>
        <v/>
      </c>
      <c r="S49" s="43">
        <f>IF(M49=1,Parametros!$B$15*R49+(1-Parametros!$B$15),0)</f>
        <v/>
      </c>
      <c r="T49" s="42">
        <f>IF(M49=1,-Parametros!$B$7-Parametros!$B$22+INDEX($G$18:$G$81,A49-3)+Parametros!$B$15*Q49/(1+Parametros!$B$20)^(A49+Parametros!$B$14),0)</f>
        <v/>
      </c>
      <c r="U49" s="42">
        <f>IF(M49=1,INDEX($I$18:$I$81,A49-3),0)</f>
        <v/>
      </c>
      <c r="V49" s="42">
        <f>IF(M49=1,-Parametros!$B$7-Parametros!$B$22+INDEX($L$18:$L$81,A49-3)+Parametros!$B$15*MIN(O49*(1-Parametros!$B$13),U49*(1+Parametros!$B$27)^(3+Parametros!$B$14))/(1+Parametros!$B$20)^(A49+Parametros!$B$14),0)</f>
        <v/>
      </c>
      <c r="W49" s="44">
        <f>IF(M49=1,((A49-3)/(Parametros!$B$16-3))*EXP(1-(A49-3)/(Parametros!$B$16-3)),0)</f>
        <v/>
      </c>
      <c r="X49" s="44">
        <f>W49+X48</f>
        <v/>
      </c>
      <c r="Y49" s="45">
        <f>W49/$B$9</f>
        <v/>
      </c>
      <c r="Z49" s="42">
        <f>S49*N49/(1+Parametros!$B$20)^A49</f>
        <v/>
      </c>
      <c r="AA49" s="41">
        <f>IF(AND(M49=1,O49*(1-Parametros!$B$13)&gt;=N49),1,0)</f>
        <v/>
      </c>
    </row>
    <row r="50">
      <c r="A50" s="41" t="n">
        <v>32</v>
      </c>
      <c r="B50" s="41">
        <f>IF(A50&lt;=Parametros!$B$10,1,0)</f>
        <v/>
      </c>
      <c r="C50" s="42">
        <f>IF(AND(A50&gt;=1,A50&lt;=Parametros!$B$10),$B$4,0)</f>
        <v/>
      </c>
      <c r="D50" s="42">
        <f>IF(A50&lt;=Parametros!$B$10,Parametros!$B$7*((1+Parametros!$B$8)^Parametros!$B$10-(1+Parametros!$B$8)^A50)/((1+Parametros!$B$8)^Parametros!$B$10-1),0)</f>
        <v/>
      </c>
      <c r="E50" s="42">
        <f>IF(AND(A50&gt;=1,A50&lt;=Parametros!$B$10),Parametros!$B$21/12*D49,0)</f>
        <v/>
      </c>
      <c r="F50" s="42">
        <f>C50-E50</f>
        <v/>
      </c>
      <c r="G50" s="42">
        <f>F50/(1+Parametros!$B$20)^A50+G49</f>
        <v/>
      </c>
      <c r="H50" s="42">
        <f>IF(AND(A50&gt;=1,A50&lt;=Parametros!$B$10),$B$5,0)</f>
        <v/>
      </c>
      <c r="I50" s="42">
        <f>IF(A50&lt;=Parametros!$B$10,Parametros!$B$7*((1+Parametros!$B$27)^Parametros!$B$10-(1+Parametros!$B$27)^A50)/((1+Parametros!$B$27)^Parametros!$B$10-1),0)</f>
        <v/>
      </c>
      <c r="J50" s="42">
        <f>IF(AND(A50&gt;=1,A50&lt;=Parametros!$B$10),Parametros!$B$21/12*I49,0)</f>
        <v/>
      </c>
      <c r="K50" s="42">
        <f>H50-J50</f>
        <v/>
      </c>
      <c r="L50" s="42">
        <f>K50/(1+Parametros!$B$20)^A50+L49</f>
        <v/>
      </c>
      <c r="M50" s="41">
        <f>IF(AND(A50&gt;=4,A50&lt;=Parametros!$B$10+3),1,0)</f>
        <v/>
      </c>
      <c r="N50" s="42">
        <f>IF(M50=1,INDEX($D$18:$D$81,A50-3),0)</f>
        <v/>
      </c>
      <c r="O50" s="42">
        <f>IF(M50=1,Parametros!$B$5*(1-Parametros!$B$12)*(1-Parametros!$B$11)^((A50+Parametros!$B$14)/12),0)</f>
        <v/>
      </c>
      <c r="P50" s="42">
        <f>N50*(1+Parametros!$B$8)^(3+Parametros!$B$14)</f>
        <v/>
      </c>
      <c r="Q50" s="42">
        <f>MIN(O50*(1-Parametros!$B$13),P50)</f>
        <v/>
      </c>
      <c r="R50" s="43">
        <f>IF(M50=1,MAX(0,1-Q50/(1+Parametros!$B$20)^Parametros!$B$14/N50),0)</f>
        <v/>
      </c>
      <c r="S50" s="43">
        <f>IF(M50=1,Parametros!$B$15*R50+(1-Parametros!$B$15),0)</f>
        <v/>
      </c>
      <c r="T50" s="42">
        <f>IF(M50=1,-Parametros!$B$7-Parametros!$B$22+INDEX($G$18:$G$81,A50-3)+Parametros!$B$15*Q50/(1+Parametros!$B$20)^(A50+Parametros!$B$14),0)</f>
        <v/>
      </c>
      <c r="U50" s="42">
        <f>IF(M50=1,INDEX($I$18:$I$81,A50-3),0)</f>
        <v/>
      </c>
      <c r="V50" s="42">
        <f>IF(M50=1,-Parametros!$B$7-Parametros!$B$22+INDEX($L$18:$L$81,A50-3)+Parametros!$B$15*MIN(O50*(1-Parametros!$B$13),U50*(1+Parametros!$B$27)^(3+Parametros!$B$14))/(1+Parametros!$B$20)^(A50+Parametros!$B$14),0)</f>
        <v/>
      </c>
      <c r="W50" s="44">
        <f>IF(M50=1,((A50-3)/(Parametros!$B$16-3))*EXP(1-(A50-3)/(Parametros!$B$16-3)),0)</f>
        <v/>
      </c>
      <c r="X50" s="44">
        <f>W50+X49</f>
        <v/>
      </c>
      <c r="Y50" s="45">
        <f>W50/$B$9</f>
        <v/>
      </c>
      <c r="Z50" s="42">
        <f>S50*N50/(1+Parametros!$B$20)^A50</f>
        <v/>
      </c>
      <c r="AA50" s="41">
        <f>IF(AND(M50=1,O50*(1-Parametros!$B$13)&gt;=N50),1,0)</f>
        <v/>
      </c>
    </row>
    <row r="51">
      <c r="A51" s="41" t="n">
        <v>33</v>
      </c>
      <c r="B51" s="41">
        <f>IF(A51&lt;=Parametros!$B$10,1,0)</f>
        <v/>
      </c>
      <c r="C51" s="42">
        <f>IF(AND(A51&gt;=1,A51&lt;=Parametros!$B$10),$B$4,0)</f>
        <v/>
      </c>
      <c r="D51" s="42">
        <f>IF(A51&lt;=Parametros!$B$10,Parametros!$B$7*((1+Parametros!$B$8)^Parametros!$B$10-(1+Parametros!$B$8)^A51)/((1+Parametros!$B$8)^Parametros!$B$10-1),0)</f>
        <v/>
      </c>
      <c r="E51" s="42">
        <f>IF(AND(A51&gt;=1,A51&lt;=Parametros!$B$10),Parametros!$B$21/12*D50,0)</f>
        <v/>
      </c>
      <c r="F51" s="42">
        <f>C51-E51</f>
        <v/>
      </c>
      <c r="G51" s="42">
        <f>F51/(1+Parametros!$B$20)^A51+G50</f>
        <v/>
      </c>
      <c r="H51" s="42">
        <f>IF(AND(A51&gt;=1,A51&lt;=Parametros!$B$10),$B$5,0)</f>
        <v/>
      </c>
      <c r="I51" s="42">
        <f>IF(A51&lt;=Parametros!$B$10,Parametros!$B$7*((1+Parametros!$B$27)^Parametros!$B$10-(1+Parametros!$B$27)^A51)/((1+Parametros!$B$27)^Parametros!$B$10-1),0)</f>
        <v/>
      </c>
      <c r="J51" s="42">
        <f>IF(AND(A51&gt;=1,A51&lt;=Parametros!$B$10),Parametros!$B$21/12*I50,0)</f>
        <v/>
      </c>
      <c r="K51" s="42">
        <f>H51-J51</f>
        <v/>
      </c>
      <c r="L51" s="42">
        <f>K51/(1+Parametros!$B$20)^A51+L50</f>
        <v/>
      </c>
      <c r="M51" s="41">
        <f>IF(AND(A51&gt;=4,A51&lt;=Parametros!$B$10+3),1,0)</f>
        <v/>
      </c>
      <c r="N51" s="42">
        <f>IF(M51=1,INDEX($D$18:$D$81,A51-3),0)</f>
        <v/>
      </c>
      <c r="O51" s="42">
        <f>IF(M51=1,Parametros!$B$5*(1-Parametros!$B$12)*(1-Parametros!$B$11)^((A51+Parametros!$B$14)/12),0)</f>
        <v/>
      </c>
      <c r="P51" s="42">
        <f>N51*(1+Parametros!$B$8)^(3+Parametros!$B$14)</f>
        <v/>
      </c>
      <c r="Q51" s="42">
        <f>MIN(O51*(1-Parametros!$B$13),P51)</f>
        <v/>
      </c>
      <c r="R51" s="43">
        <f>IF(M51=1,MAX(0,1-Q51/(1+Parametros!$B$20)^Parametros!$B$14/N51),0)</f>
        <v/>
      </c>
      <c r="S51" s="43">
        <f>IF(M51=1,Parametros!$B$15*R51+(1-Parametros!$B$15),0)</f>
        <v/>
      </c>
      <c r="T51" s="42">
        <f>IF(M51=1,-Parametros!$B$7-Parametros!$B$22+INDEX($G$18:$G$81,A51-3)+Parametros!$B$15*Q51/(1+Parametros!$B$20)^(A51+Parametros!$B$14),0)</f>
        <v/>
      </c>
      <c r="U51" s="42">
        <f>IF(M51=1,INDEX($I$18:$I$81,A51-3),0)</f>
        <v/>
      </c>
      <c r="V51" s="42">
        <f>IF(M51=1,-Parametros!$B$7-Parametros!$B$22+INDEX($L$18:$L$81,A51-3)+Parametros!$B$15*MIN(O51*(1-Parametros!$B$13),U51*(1+Parametros!$B$27)^(3+Parametros!$B$14))/(1+Parametros!$B$20)^(A51+Parametros!$B$14),0)</f>
        <v/>
      </c>
      <c r="W51" s="44">
        <f>IF(M51=1,((A51-3)/(Parametros!$B$16-3))*EXP(1-(A51-3)/(Parametros!$B$16-3)),0)</f>
        <v/>
      </c>
      <c r="X51" s="44">
        <f>W51+X50</f>
        <v/>
      </c>
      <c r="Y51" s="45">
        <f>W51/$B$9</f>
        <v/>
      </c>
      <c r="Z51" s="42">
        <f>S51*N51/(1+Parametros!$B$20)^A51</f>
        <v/>
      </c>
      <c r="AA51" s="41">
        <f>IF(AND(M51=1,O51*(1-Parametros!$B$13)&gt;=N51),1,0)</f>
        <v/>
      </c>
    </row>
    <row r="52">
      <c r="A52" s="41" t="n">
        <v>34</v>
      </c>
      <c r="B52" s="41">
        <f>IF(A52&lt;=Parametros!$B$10,1,0)</f>
        <v/>
      </c>
      <c r="C52" s="42">
        <f>IF(AND(A52&gt;=1,A52&lt;=Parametros!$B$10),$B$4,0)</f>
        <v/>
      </c>
      <c r="D52" s="42">
        <f>IF(A52&lt;=Parametros!$B$10,Parametros!$B$7*((1+Parametros!$B$8)^Parametros!$B$10-(1+Parametros!$B$8)^A52)/((1+Parametros!$B$8)^Parametros!$B$10-1),0)</f>
        <v/>
      </c>
      <c r="E52" s="42">
        <f>IF(AND(A52&gt;=1,A52&lt;=Parametros!$B$10),Parametros!$B$21/12*D51,0)</f>
        <v/>
      </c>
      <c r="F52" s="42">
        <f>C52-E52</f>
        <v/>
      </c>
      <c r="G52" s="42">
        <f>F52/(1+Parametros!$B$20)^A52+G51</f>
        <v/>
      </c>
      <c r="H52" s="42">
        <f>IF(AND(A52&gt;=1,A52&lt;=Parametros!$B$10),$B$5,0)</f>
        <v/>
      </c>
      <c r="I52" s="42">
        <f>IF(A52&lt;=Parametros!$B$10,Parametros!$B$7*((1+Parametros!$B$27)^Parametros!$B$10-(1+Parametros!$B$27)^A52)/((1+Parametros!$B$27)^Parametros!$B$10-1),0)</f>
        <v/>
      </c>
      <c r="J52" s="42">
        <f>IF(AND(A52&gt;=1,A52&lt;=Parametros!$B$10),Parametros!$B$21/12*I51,0)</f>
        <v/>
      </c>
      <c r="K52" s="42">
        <f>H52-J52</f>
        <v/>
      </c>
      <c r="L52" s="42">
        <f>K52/(1+Parametros!$B$20)^A52+L51</f>
        <v/>
      </c>
      <c r="M52" s="41">
        <f>IF(AND(A52&gt;=4,A52&lt;=Parametros!$B$10+3),1,0)</f>
        <v/>
      </c>
      <c r="N52" s="42">
        <f>IF(M52=1,INDEX($D$18:$D$81,A52-3),0)</f>
        <v/>
      </c>
      <c r="O52" s="42">
        <f>IF(M52=1,Parametros!$B$5*(1-Parametros!$B$12)*(1-Parametros!$B$11)^((A52+Parametros!$B$14)/12),0)</f>
        <v/>
      </c>
      <c r="P52" s="42">
        <f>N52*(1+Parametros!$B$8)^(3+Parametros!$B$14)</f>
        <v/>
      </c>
      <c r="Q52" s="42">
        <f>MIN(O52*(1-Parametros!$B$13),P52)</f>
        <v/>
      </c>
      <c r="R52" s="43">
        <f>IF(M52=1,MAX(0,1-Q52/(1+Parametros!$B$20)^Parametros!$B$14/N52),0)</f>
        <v/>
      </c>
      <c r="S52" s="43">
        <f>IF(M52=1,Parametros!$B$15*R52+(1-Parametros!$B$15),0)</f>
        <v/>
      </c>
      <c r="T52" s="42">
        <f>IF(M52=1,-Parametros!$B$7-Parametros!$B$22+INDEX($G$18:$G$81,A52-3)+Parametros!$B$15*Q52/(1+Parametros!$B$20)^(A52+Parametros!$B$14),0)</f>
        <v/>
      </c>
      <c r="U52" s="42">
        <f>IF(M52=1,INDEX($I$18:$I$81,A52-3),0)</f>
        <v/>
      </c>
      <c r="V52" s="42">
        <f>IF(M52=1,-Parametros!$B$7-Parametros!$B$22+INDEX($L$18:$L$81,A52-3)+Parametros!$B$15*MIN(O52*(1-Parametros!$B$13),U52*(1+Parametros!$B$27)^(3+Parametros!$B$14))/(1+Parametros!$B$20)^(A52+Parametros!$B$14),0)</f>
        <v/>
      </c>
      <c r="W52" s="44">
        <f>IF(M52=1,((A52-3)/(Parametros!$B$16-3))*EXP(1-(A52-3)/(Parametros!$B$16-3)),0)</f>
        <v/>
      </c>
      <c r="X52" s="44">
        <f>W52+X51</f>
        <v/>
      </c>
      <c r="Y52" s="45">
        <f>W52/$B$9</f>
        <v/>
      </c>
      <c r="Z52" s="42">
        <f>S52*N52/(1+Parametros!$B$20)^A52</f>
        <v/>
      </c>
      <c r="AA52" s="41">
        <f>IF(AND(M52=1,O52*(1-Parametros!$B$13)&gt;=N52),1,0)</f>
        <v/>
      </c>
    </row>
    <row r="53">
      <c r="A53" s="41" t="n">
        <v>35</v>
      </c>
      <c r="B53" s="41">
        <f>IF(A53&lt;=Parametros!$B$10,1,0)</f>
        <v/>
      </c>
      <c r="C53" s="42">
        <f>IF(AND(A53&gt;=1,A53&lt;=Parametros!$B$10),$B$4,0)</f>
        <v/>
      </c>
      <c r="D53" s="42">
        <f>IF(A53&lt;=Parametros!$B$10,Parametros!$B$7*((1+Parametros!$B$8)^Parametros!$B$10-(1+Parametros!$B$8)^A53)/((1+Parametros!$B$8)^Parametros!$B$10-1),0)</f>
        <v/>
      </c>
      <c r="E53" s="42">
        <f>IF(AND(A53&gt;=1,A53&lt;=Parametros!$B$10),Parametros!$B$21/12*D52,0)</f>
        <v/>
      </c>
      <c r="F53" s="42">
        <f>C53-E53</f>
        <v/>
      </c>
      <c r="G53" s="42">
        <f>F53/(1+Parametros!$B$20)^A53+G52</f>
        <v/>
      </c>
      <c r="H53" s="42">
        <f>IF(AND(A53&gt;=1,A53&lt;=Parametros!$B$10),$B$5,0)</f>
        <v/>
      </c>
      <c r="I53" s="42">
        <f>IF(A53&lt;=Parametros!$B$10,Parametros!$B$7*((1+Parametros!$B$27)^Parametros!$B$10-(1+Parametros!$B$27)^A53)/((1+Parametros!$B$27)^Parametros!$B$10-1),0)</f>
        <v/>
      </c>
      <c r="J53" s="42">
        <f>IF(AND(A53&gt;=1,A53&lt;=Parametros!$B$10),Parametros!$B$21/12*I52,0)</f>
        <v/>
      </c>
      <c r="K53" s="42">
        <f>H53-J53</f>
        <v/>
      </c>
      <c r="L53" s="42">
        <f>K53/(1+Parametros!$B$20)^A53+L52</f>
        <v/>
      </c>
      <c r="M53" s="41">
        <f>IF(AND(A53&gt;=4,A53&lt;=Parametros!$B$10+3),1,0)</f>
        <v/>
      </c>
      <c r="N53" s="42">
        <f>IF(M53=1,INDEX($D$18:$D$81,A53-3),0)</f>
        <v/>
      </c>
      <c r="O53" s="42">
        <f>IF(M53=1,Parametros!$B$5*(1-Parametros!$B$12)*(1-Parametros!$B$11)^((A53+Parametros!$B$14)/12),0)</f>
        <v/>
      </c>
      <c r="P53" s="42">
        <f>N53*(1+Parametros!$B$8)^(3+Parametros!$B$14)</f>
        <v/>
      </c>
      <c r="Q53" s="42">
        <f>MIN(O53*(1-Parametros!$B$13),P53)</f>
        <v/>
      </c>
      <c r="R53" s="43">
        <f>IF(M53=1,MAX(0,1-Q53/(1+Parametros!$B$20)^Parametros!$B$14/N53),0)</f>
        <v/>
      </c>
      <c r="S53" s="43">
        <f>IF(M53=1,Parametros!$B$15*R53+(1-Parametros!$B$15),0)</f>
        <v/>
      </c>
      <c r="T53" s="42">
        <f>IF(M53=1,-Parametros!$B$7-Parametros!$B$22+INDEX($G$18:$G$81,A53-3)+Parametros!$B$15*Q53/(1+Parametros!$B$20)^(A53+Parametros!$B$14),0)</f>
        <v/>
      </c>
      <c r="U53" s="42">
        <f>IF(M53=1,INDEX($I$18:$I$81,A53-3),0)</f>
        <v/>
      </c>
      <c r="V53" s="42">
        <f>IF(M53=1,-Parametros!$B$7-Parametros!$B$22+INDEX($L$18:$L$81,A53-3)+Parametros!$B$15*MIN(O53*(1-Parametros!$B$13),U53*(1+Parametros!$B$27)^(3+Parametros!$B$14))/(1+Parametros!$B$20)^(A53+Parametros!$B$14),0)</f>
        <v/>
      </c>
      <c r="W53" s="44">
        <f>IF(M53=1,((A53-3)/(Parametros!$B$16-3))*EXP(1-(A53-3)/(Parametros!$B$16-3)),0)</f>
        <v/>
      </c>
      <c r="X53" s="44">
        <f>W53+X52</f>
        <v/>
      </c>
      <c r="Y53" s="45">
        <f>W53/$B$9</f>
        <v/>
      </c>
      <c r="Z53" s="42">
        <f>S53*N53/(1+Parametros!$B$20)^A53</f>
        <v/>
      </c>
      <c r="AA53" s="41">
        <f>IF(AND(M53=1,O53*(1-Parametros!$B$13)&gt;=N53),1,0)</f>
        <v/>
      </c>
    </row>
    <row r="54">
      <c r="A54" s="41" t="n">
        <v>36</v>
      </c>
      <c r="B54" s="41">
        <f>IF(A54&lt;=Parametros!$B$10,1,0)</f>
        <v/>
      </c>
      <c r="C54" s="42">
        <f>IF(AND(A54&gt;=1,A54&lt;=Parametros!$B$10),$B$4,0)</f>
        <v/>
      </c>
      <c r="D54" s="42">
        <f>IF(A54&lt;=Parametros!$B$10,Parametros!$B$7*((1+Parametros!$B$8)^Parametros!$B$10-(1+Parametros!$B$8)^A54)/((1+Parametros!$B$8)^Parametros!$B$10-1),0)</f>
        <v/>
      </c>
      <c r="E54" s="42">
        <f>IF(AND(A54&gt;=1,A54&lt;=Parametros!$B$10),Parametros!$B$21/12*D53,0)</f>
        <v/>
      </c>
      <c r="F54" s="42">
        <f>C54-E54</f>
        <v/>
      </c>
      <c r="G54" s="42">
        <f>F54/(1+Parametros!$B$20)^A54+G53</f>
        <v/>
      </c>
      <c r="H54" s="42">
        <f>IF(AND(A54&gt;=1,A54&lt;=Parametros!$B$10),$B$5,0)</f>
        <v/>
      </c>
      <c r="I54" s="42">
        <f>IF(A54&lt;=Parametros!$B$10,Parametros!$B$7*((1+Parametros!$B$27)^Parametros!$B$10-(1+Parametros!$B$27)^A54)/((1+Parametros!$B$27)^Parametros!$B$10-1),0)</f>
        <v/>
      </c>
      <c r="J54" s="42">
        <f>IF(AND(A54&gt;=1,A54&lt;=Parametros!$B$10),Parametros!$B$21/12*I53,0)</f>
        <v/>
      </c>
      <c r="K54" s="42">
        <f>H54-J54</f>
        <v/>
      </c>
      <c r="L54" s="42">
        <f>K54/(1+Parametros!$B$20)^A54+L53</f>
        <v/>
      </c>
      <c r="M54" s="41">
        <f>IF(AND(A54&gt;=4,A54&lt;=Parametros!$B$10+3),1,0)</f>
        <v/>
      </c>
      <c r="N54" s="42">
        <f>IF(M54=1,INDEX($D$18:$D$81,A54-3),0)</f>
        <v/>
      </c>
      <c r="O54" s="42">
        <f>IF(M54=1,Parametros!$B$5*(1-Parametros!$B$12)*(1-Parametros!$B$11)^((A54+Parametros!$B$14)/12),0)</f>
        <v/>
      </c>
      <c r="P54" s="42">
        <f>N54*(1+Parametros!$B$8)^(3+Parametros!$B$14)</f>
        <v/>
      </c>
      <c r="Q54" s="42">
        <f>MIN(O54*(1-Parametros!$B$13),P54)</f>
        <v/>
      </c>
      <c r="R54" s="43">
        <f>IF(M54=1,MAX(0,1-Q54/(1+Parametros!$B$20)^Parametros!$B$14/N54),0)</f>
        <v/>
      </c>
      <c r="S54" s="43">
        <f>IF(M54=1,Parametros!$B$15*R54+(1-Parametros!$B$15),0)</f>
        <v/>
      </c>
      <c r="T54" s="42">
        <f>IF(M54=1,-Parametros!$B$7-Parametros!$B$22+INDEX($G$18:$G$81,A54-3)+Parametros!$B$15*Q54/(1+Parametros!$B$20)^(A54+Parametros!$B$14),0)</f>
        <v/>
      </c>
      <c r="U54" s="42">
        <f>IF(M54=1,INDEX($I$18:$I$81,A54-3),0)</f>
        <v/>
      </c>
      <c r="V54" s="42">
        <f>IF(M54=1,-Parametros!$B$7-Parametros!$B$22+INDEX($L$18:$L$81,A54-3)+Parametros!$B$15*MIN(O54*(1-Parametros!$B$13),U54*(1+Parametros!$B$27)^(3+Parametros!$B$14))/(1+Parametros!$B$20)^(A54+Parametros!$B$14),0)</f>
        <v/>
      </c>
      <c r="W54" s="44">
        <f>IF(M54=1,((A54-3)/(Parametros!$B$16-3))*EXP(1-(A54-3)/(Parametros!$B$16-3)),0)</f>
        <v/>
      </c>
      <c r="X54" s="44">
        <f>W54+X53</f>
        <v/>
      </c>
      <c r="Y54" s="45">
        <f>W54/$B$9</f>
        <v/>
      </c>
      <c r="Z54" s="42">
        <f>S54*N54/(1+Parametros!$B$20)^A54</f>
        <v/>
      </c>
      <c r="AA54" s="41">
        <f>IF(AND(M54=1,O54*(1-Parametros!$B$13)&gt;=N54),1,0)</f>
        <v/>
      </c>
    </row>
    <row r="55">
      <c r="A55" s="41" t="n">
        <v>37</v>
      </c>
      <c r="B55" s="41">
        <f>IF(A55&lt;=Parametros!$B$10,1,0)</f>
        <v/>
      </c>
      <c r="C55" s="42">
        <f>IF(AND(A55&gt;=1,A55&lt;=Parametros!$B$10),$B$4,0)</f>
        <v/>
      </c>
      <c r="D55" s="42">
        <f>IF(A55&lt;=Parametros!$B$10,Parametros!$B$7*((1+Parametros!$B$8)^Parametros!$B$10-(1+Parametros!$B$8)^A55)/((1+Parametros!$B$8)^Parametros!$B$10-1),0)</f>
        <v/>
      </c>
      <c r="E55" s="42">
        <f>IF(AND(A55&gt;=1,A55&lt;=Parametros!$B$10),Parametros!$B$21/12*D54,0)</f>
        <v/>
      </c>
      <c r="F55" s="42">
        <f>C55-E55</f>
        <v/>
      </c>
      <c r="G55" s="42">
        <f>F55/(1+Parametros!$B$20)^A55+G54</f>
        <v/>
      </c>
      <c r="H55" s="42">
        <f>IF(AND(A55&gt;=1,A55&lt;=Parametros!$B$10),$B$5,0)</f>
        <v/>
      </c>
      <c r="I55" s="42">
        <f>IF(A55&lt;=Parametros!$B$10,Parametros!$B$7*((1+Parametros!$B$27)^Parametros!$B$10-(1+Parametros!$B$27)^A55)/((1+Parametros!$B$27)^Parametros!$B$10-1),0)</f>
        <v/>
      </c>
      <c r="J55" s="42">
        <f>IF(AND(A55&gt;=1,A55&lt;=Parametros!$B$10),Parametros!$B$21/12*I54,0)</f>
        <v/>
      </c>
      <c r="K55" s="42">
        <f>H55-J55</f>
        <v/>
      </c>
      <c r="L55" s="42">
        <f>K55/(1+Parametros!$B$20)^A55+L54</f>
        <v/>
      </c>
      <c r="M55" s="41">
        <f>IF(AND(A55&gt;=4,A55&lt;=Parametros!$B$10+3),1,0)</f>
        <v/>
      </c>
      <c r="N55" s="42">
        <f>IF(M55=1,INDEX($D$18:$D$81,A55-3),0)</f>
        <v/>
      </c>
      <c r="O55" s="42">
        <f>IF(M55=1,Parametros!$B$5*(1-Parametros!$B$12)*(1-Parametros!$B$11)^((A55+Parametros!$B$14)/12),0)</f>
        <v/>
      </c>
      <c r="P55" s="42">
        <f>N55*(1+Parametros!$B$8)^(3+Parametros!$B$14)</f>
        <v/>
      </c>
      <c r="Q55" s="42">
        <f>MIN(O55*(1-Parametros!$B$13),P55)</f>
        <v/>
      </c>
      <c r="R55" s="43">
        <f>IF(M55=1,MAX(0,1-Q55/(1+Parametros!$B$20)^Parametros!$B$14/N55),0)</f>
        <v/>
      </c>
      <c r="S55" s="43">
        <f>IF(M55=1,Parametros!$B$15*R55+(1-Parametros!$B$15),0)</f>
        <v/>
      </c>
      <c r="T55" s="42">
        <f>IF(M55=1,-Parametros!$B$7-Parametros!$B$22+INDEX($G$18:$G$81,A55-3)+Parametros!$B$15*Q55/(1+Parametros!$B$20)^(A55+Parametros!$B$14),0)</f>
        <v/>
      </c>
      <c r="U55" s="42">
        <f>IF(M55=1,INDEX($I$18:$I$81,A55-3),0)</f>
        <v/>
      </c>
      <c r="V55" s="42">
        <f>IF(M55=1,-Parametros!$B$7-Parametros!$B$22+INDEX($L$18:$L$81,A55-3)+Parametros!$B$15*MIN(O55*(1-Parametros!$B$13),U55*(1+Parametros!$B$27)^(3+Parametros!$B$14))/(1+Parametros!$B$20)^(A55+Parametros!$B$14),0)</f>
        <v/>
      </c>
      <c r="W55" s="44">
        <f>IF(M55=1,((A55-3)/(Parametros!$B$16-3))*EXP(1-(A55-3)/(Parametros!$B$16-3)),0)</f>
        <v/>
      </c>
      <c r="X55" s="44">
        <f>W55+X54</f>
        <v/>
      </c>
      <c r="Y55" s="45">
        <f>W55/$B$9</f>
        <v/>
      </c>
      <c r="Z55" s="42">
        <f>S55*N55/(1+Parametros!$B$20)^A55</f>
        <v/>
      </c>
      <c r="AA55" s="41">
        <f>IF(AND(M55=1,O55*(1-Parametros!$B$13)&gt;=N55),1,0)</f>
        <v/>
      </c>
    </row>
    <row r="56">
      <c r="A56" s="41" t="n">
        <v>38</v>
      </c>
      <c r="B56" s="41">
        <f>IF(A56&lt;=Parametros!$B$10,1,0)</f>
        <v/>
      </c>
      <c r="C56" s="42">
        <f>IF(AND(A56&gt;=1,A56&lt;=Parametros!$B$10),$B$4,0)</f>
        <v/>
      </c>
      <c r="D56" s="42">
        <f>IF(A56&lt;=Parametros!$B$10,Parametros!$B$7*((1+Parametros!$B$8)^Parametros!$B$10-(1+Parametros!$B$8)^A56)/((1+Parametros!$B$8)^Parametros!$B$10-1),0)</f>
        <v/>
      </c>
      <c r="E56" s="42">
        <f>IF(AND(A56&gt;=1,A56&lt;=Parametros!$B$10),Parametros!$B$21/12*D55,0)</f>
        <v/>
      </c>
      <c r="F56" s="42">
        <f>C56-E56</f>
        <v/>
      </c>
      <c r="G56" s="42">
        <f>F56/(1+Parametros!$B$20)^A56+G55</f>
        <v/>
      </c>
      <c r="H56" s="42">
        <f>IF(AND(A56&gt;=1,A56&lt;=Parametros!$B$10),$B$5,0)</f>
        <v/>
      </c>
      <c r="I56" s="42">
        <f>IF(A56&lt;=Parametros!$B$10,Parametros!$B$7*((1+Parametros!$B$27)^Parametros!$B$10-(1+Parametros!$B$27)^A56)/((1+Parametros!$B$27)^Parametros!$B$10-1),0)</f>
        <v/>
      </c>
      <c r="J56" s="42">
        <f>IF(AND(A56&gt;=1,A56&lt;=Parametros!$B$10),Parametros!$B$21/12*I55,0)</f>
        <v/>
      </c>
      <c r="K56" s="42">
        <f>H56-J56</f>
        <v/>
      </c>
      <c r="L56" s="42">
        <f>K56/(1+Parametros!$B$20)^A56+L55</f>
        <v/>
      </c>
      <c r="M56" s="41">
        <f>IF(AND(A56&gt;=4,A56&lt;=Parametros!$B$10+3),1,0)</f>
        <v/>
      </c>
      <c r="N56" s="42">
        <f>IF(M56=1,INDEX($D$18:$D$81,A56-3),0)</f>
        <v/>
      </c>
      <c r="O56" s="42">
        <f>IF(M56=1,Parametros!$B$5*(1-Parametros!$B$12)*(1-Parametros!$B$11)^((A56+Parametros!$B$14)/12),0)</f>
        <v/>
      </c>
      <c r="P56" s="42">
        <f>N56*(1+Parametros!$B$8)^(3+Parametros!$B$14)</f>
        <v/>
      </c>
      <c r="Q56" s="42">
        <f>MIN(O56*(1-Parametros!$B$13),P56)</f>
        <v/>
      </c>
      <c r="R56" s="43">
        <f>IF(M56=1,MAX(0,1-Q56/(1+Parametros!$B$20)^Parametros!$B$14/N56),0)</f>
        <v/>
      </c>
      <c r="S56" s="43">
        <f>IF(M56=1,Parametros!$B$15*R56+(1-Parametros!$B$15),0)</f>
        <v/>
      </c>
      <c r="T56" s="42">
        <f>IF(M56=1,-Parametros!$B$7-Parametros!$B$22+INDEX($G$18:$G$81,A56-3)+Parametros!$B$15*Q56/(1+Parametros!$B$20)^(A56+Parametros!$B$14),0)</f>
        <v/>
      </c>
      <c r="U56" s="42">
        <f>IF(M56=1,INDEX($I$18:$I$81,A56-3),0)</f>
        <v/>
      </c>
      <c r="V56" s="42">
        <f>IF(M56=1,-Parametros!$B$7-Parametros!$B$22+INDEX($L$18:$L$81,A56-3)+Parametros!$B$15*MIN(O56*(1-Parametros!$B$13),U56*(1+Parametros!$B$27)^(3+Parametros!$B$14))/(1+Parametros!$B$20)^(A56+Parametros!$B$14),0)</f>
        <v/>
      </c>
      <c r="W56" s="44">
        <f>IF(M56=1,((A56-3)/(Parametros!$B$16-3))*EXP(1-(A56-3)/(Parametros!$B$16-3)),0)</f>
        <v/>
      </c>
      <c r="X56" s="44">
        <f>W56+X55</f>
        <v/>
      </c>
      <c r="Y56" s="45">
        <f>W56/$B$9</f>
        <v/>
      </c>
      <c r="Z56" s="42">
        <f>S56*N56/(1+Parametros!$B$20)^A56</f>
        <v/>
      </c>
      <c r="AA56" s="41">
        <f>IF(AND(M56=1,O56*(1-Parametros!$B$13)&gt;=N56),1,0)</f>
        <v/>
      </c>
    </row>
    <row r="57">
      <c r="A57" s="41" t="n">
        <v>39</v>
      </c>
      <c r="B57" s="41">
        <f>IF(A57&lt;=Parametros!$B$10,1,0)</f>
        <v/>
      </c>
      <c r="C57" s="42">
        <f>IF(AND(A57&gt;=1,A57&lt;=Parametros!$B$10),$B$4,0)</f>
        <v/>
      </c>
      <c r="D57" s="42">
        <f>IF(A57&lt;=Parametros!$B$10,Parametros!$B$7*((1+Parametros!$B$8)^Parametros!$B$10-(1+Parametros!$B$8)^A57)/((1+Parametros!$B$8)^Parametros!$B$10-1),0)</f>
        <v/>
      </c>
      <c r="E57" s="42">
        <f>IF(AND(A57&gt;=1,A57&lt;=Parametros!$B$10),Parametros!$B$21/12*D56,0)</f>
        <v/>
      </c>
      <c r="F57" s="42">
        <f>C57-E57</f>
        <v/>
      </c>
      <c r="G57" s="42">
        <f>F57/(1+Parametros!$B$20)^A57+G56</f>
        <v/>
      </c>
      <c r="H57" s="42">
        <f>IF(AND(A57&gt;=1,A57&lt;=Parametros!$B$10),$B$5,0)</f>
        <v/>
      </c>
      <c r="I57" s="42">
        <f>IF(A57&lt;=Parametros!$B$10,Parametros!$B$7*((1+Parametros!$B$27)^Parametros!$B$10-(1+Parametros!$B$27)^A57)/((1+Parametros!$B$27)^Parametros!$B$10-1),0)</f>
        <v/>
      </c>
      <c r="J57" s="42">
        <f>IF(AND(A57&gt;=1,A57&lt;=Parametros!$B$10),Parametros!$B$21/12*I56,0)</f>
        <v/>
      </c>
      <c r="K57" s="42">
        <f>H57-J57</f>
        <v/>
      </c>
      <c r="L57" s="42">
        <f>K57/(1+Parametros!$B$20)^A57+L56</f>
        <v/>
      </c>
      <c r="M57" s="41">
        <f>IF(AND(A57&gt;=4,A57&lt;=Parametros!$B$10+3),1,0)</f>
        <v/>
      </c>
      <c r="N57" s="42">
        <f>IF(M57=1,INDEX($D$18:$D$81,A57-3),0)</f>
        <v/>
      </c>
      <c r="O57" s="42">
        <f>IF(M57=1,Parametros!$B$5*(1-Parametros!$B$12)*(1-Parametros!$B$11)^((A57+Parametros!$B$14)/12),0)</f>
        <v/>
      </c>
      <c r="P57" s="42">
        <f>N57*(1+Parametros!$B$8)^(3+Parametros!$B$14)</f>
        <v/>
      </c>
      <c r="Q57" s="42">
        <f>MIN(O57*(1-Parametros!$B$13),P57)</f>
        <v/>
      </c>
      <c r="R57" s="43">
        <f>IF(M57=1,MAX(0,1-Q57/(1+Parametros!$B$20)^Parametros!$B$14/N57),0)</f>
        <v/>
      </c>
      <c r="S57" s="43">
        <f>IF(M57=1,Parametros!$B$15*R57+(1-Parametros!$B$15),0)</f>
        <v/>
      </c>
      <c r="T57" s="42">
        <f>IF(M57=1,-Parametros!$B$7-Parametros!$B$22+INDEX($G$18:$G$81,A57-3)+Parametros!$B$15*Q57/(1+Parametros!$B$20)^(A57+Parametros!$B$14),0)</f>
        <v/>
      </c>
      <c r="U57" s="42">
        <f>IF(M57=1,INDEX($I$18:$I$81,A57-3),0)</f>
        <v/>
      </c>
      <c r="V57" s="42">
        <f>IF(M57=1,-Parametros!$B$7-Parametros!$B$22+INDEX($L$18:$L$81,A57-3)+Parametros!$B$15*MIN(O57*(1-Parametros!$B$13),U57*(1+Parametros!$B$27)^(3+Parametros!$B$14))/(1+Parametros!$B$20)^(A57+Parametros!$B$14),0)</f>
        <v/>
      </c>
      <c r="W57" s="44">
        <f>IF(M57=1,((A57-3)/(Parametros!$B$16-3))*EXP(1-(A57-3)/(Parametros!$B$16-3)),0)</f>
        <v/>
      </c>
      <c r="X57" s="44">
        <f>W57+X56</f>
        <v/>
      </c>
      <c r="Y57" s="45">
        <f>W57/$B$9</f>
        <v/>
      </c>
      <c r="Z57" s="42">
        <f>S57*N57/(1+Parametros!$B$20)^A57</f>
        <v/>
      </c>
      <c r="AA57" s="41">
        <f>IF(AND(M57=1,O57*(1-Parametros!$B$13)&gt;=N57),1,0)</f>
        <v/>
      </c>
    </row>
    <row r="58">
      <c r="A58" s="41" t="n">
        <v>40</v>
      </c>
      <c r="B58" s="41">
        <f>IF(A58&lt;=Parametros!$B$10,1,0)</f>
        <v/>
      </c>
      <c r="C58" s="42">
        <f>IF(AND(A58&gt;=1,A58&lt;=Parametros!$B$10),$B$4,0)</f>
        <v/>
      </c>
      <c r="D58" s="42">
        <f>IF(A58&lt;=Parametros!$B$10,Parametros!$B$7*((1+Parametros!$B$8)^Parametros!$B$10-(1+Parametros!$B$8)^A58)/((1+Parametros!$B$8)^Parametros!$B$10-1),0)</f>
        <v/>
      </c>
      <c r="E58" s="42">
        <f>IF(AND(A58&gt;=1,A58&lt;=Parametros!$B$10),Parametros!$B$21/12*D57,0)</f>
        <v/>
      </c>
      <c r="F58" s="42">
        <f>C58-E58</f>
        <v/>
      </c>
      <c r="G58" s="42">
        <f>F58/(1+Parametros!$B$20)^A58+G57</f>
        <v/>
      </c>
      <c r="H58" s="42">
        <f>IF(AND(A58&gt;=1,A58&lt;=Parametros!$B$10),$B$5,0)</f>
        <v/>
      </c>
      <c r="I58" s="42">
        <f>IF(A58&lt;=Parametros!$B$10,Parametros!$B$7*((1+Parametros!$B$27)^Parametros!$B$10-(1+Parametros!$B$27)^A58)/((1+Parametros!$B$27)^Parametros!$B$10-1),0)</f>
        <v/>
      </c>
      <c r="J58" s="42">
        <f>IF(AND(A58&gt;=1,A58&lt;=Parametros!$B$10),Parametros!$B$21/12*I57,0)</f>
        <v/>
      </c>
      <c r="K58" s="42">
        <f>H58-J58</f>
        <v/>
      </c>
      <c r="L58" s="42">
        <f>K58/(1+Parametros!$B$20)^A58+L57</f>
        <v/>
      </c>
      <c r="M58" s="41">
        <f>IF(AND(A58&gt;=4,A58&lt;=Parametros!$B$10+3),1,0)</f>
        <v/>
      </c>
      <c r="N58" s="42">
        <f>IF(M58=1,INDEX($D$18:$D$81,A58-3),0)</f>
        <v/>
      </c>
      <c r="O58" s="42">
        <f>IF(M58=1,Parametros!$B$5*(1-Parametros!$B$12)*(1-Parametros!$B$11)^((A58+Parametros!$B$14)/12),0)</f>
        <v/>
      </c>
      <c r="P58" s="42">
        <f>N58*(1+Parametros!$B$8)^(3+Parametros!$B$14)</f>
        <v/>
      </c>
      <c r="Q58" s="42">
        <f>MIN(O58*(1-Parametros!$B$13),P58)</f>
        <v/>
      </c>
      <c r="R58" s="43">
        <f>IF(M58=1,MAX(0,1-Q58/(1+Parametros!$B$20)^Parametros!$B$14/N58),0)</f>
        <v/>
      </c>
      <c r="S58" s="43">
        <f>IF(M58=1,Parametros!$B$15*R58+(1-Parametros!$B$15),0)</f>
        <v/>
      </c>
      <c r="T58" s="42">
        <f>IF(M58=1,-Parametros!$B$7-Parametros!$B$22+INDEX($G$18:$G$81,A58-3)+Parametros!$B$15*Q58/(1+Parametros!$B$20)^(A58+Parametros!$B$14),0)</f>
        <v/>
      </c>
      <c r="U58" s="42">
        <f>IF(M58=1,INDEX($I$18:$I$81,A58-3),0)</f>
        <v/>
      </c>
      <c r="V58" s="42">
        <f>IF(M58=1,-Parametros!$B$7-Parametros!$B$22+INDEX($L$18:$L$81,A58-3)+Parametros!$B$15*MIN(O58*(1-Parametros!$B$13),U58*(1+Parametros!$B$27)^(3+Parametros!$B$14))/(1+Parametros!$B$20)^(A58+Parametros!$B$14),0)</f>
        <v/>
      </c>
      <c r="W58" s="44">
        <f>IF(M58=1,((A58-3)/(Parametros!$B$16-3))*EXP(1-(A58-3)/(Parametros!$B$16-3)),0)</f>
        <v/>
      </c>
      <c r="X58" s="44">
        <f>W58+X57</f>
        <v/>
      </c>
      <c r="Y58" s="45">
        <f>W58/$B$9</f>
        <v/>
      </c>
      <c r="Z58" s="42">
        <f>S58*N58/(1+Parametros!$B$20)^A58</f>
        <v/>
      </c>
      <c r="AA58" s="41">
        <f>IF(AND(M58=1,O58*(1-Parametros!$B$13)&gt;=N58),1,0)</f>
        <v/>
      </c>
    </row>
    <row r="59">
      <c r="A59" s="41" t="n">
        <v>41</v>
      </c>
      <c r="B59" s="41">
        <f>IF(A59&lt;=Parametros!$B$10,1,0)</f>
        <v/>
      </c>
      <c r="C59" s="42">
        <f>IF(AND(A59&gt;=1,A59&lt;=Parametros!$B$10),$B$4,0)</f>
        <v/>
      </c>
      <c r="D59" s="42">
        <f>IF(A59&lt;=Parametros!$B$10,Parametros!$B$7*((1+Parametros!$B$8)^Parametros!$B$10-(1+Parametros!$B$8)^A59)/((1+Parametros!$B$8)^Parametros!$B$10-1),0)</f>
        <v/>
      </c>
      <c r="E59" s="42">
        <f>IF(AND(A59&gt;=1,A59&lt;=Parametros!$B$10),Parametros!$B$21/12*D58,0)</f>
        <v/>
      </c>
      <c r="F59" s="42">
        <f>C59-E59</f>
        <v/>
      </c>
      <c r="G59" s="42">
        <f>F59/(1+Parametros!$B$20)^A59+G58</f>
        <v/>
      </c>
      <c r="H59" s="42">
        <f>IF(AND(A59&gt;=1,A59&lt;=Parametros!$B$10),$B$5,0)</f>
        <v/>
      </c>
      <c r="I59" s="42">
        <f>IF(A59&lt;=Parametros!$B$10,Parametros!$B$7*((1+Parametros!$B$27)^Parametros!$B$10-(1+Parametros!$B$27)^A59)/((1+Parametros!$B$27)^Parametros!$B$10-1),0)</f>
        <v/>
      </c>
      <c r="J59" s="42">
        <f>IF(AND(A59&gt;=1,A59&lt;=Parametros!$B$10),Parametros!$B$21/12*I58,0)</f>
        <v/>
      </c>
      <c r="K59" s="42">
        <f>H59-J59</f>
        <v/>
      </c>
      <c r="L59" s="42">
        <f>K59/(1+Parametros!$B$20)^A59+L58</f>
        <v/>
      </c>
      <c r="M59" s="41">
        <f>IF(AND(A59&gt;=4,A59&lt;=Parametros!$B$10+3),1,0)</f>
        <v/>
      </c>
      <c r="N59" s="42">
        <f>IF(M59=1,INDEX($D$18:$D$81,A59-3),0)</f>
        <v/>
      </c>
      <c r="O59" s="42">
        <f>IF(M59=1,Parametros!$B$5*(1-Parametros!$B$12)*(1-Parametros!$B$11)^((A59+Parametros!$B$14)/12),0)</f>
        <v/>
      </c>
      <c r="P59" s="42">
        <f>N59*(1+Parametros!$B$8)^(3+Parametros!$B$14)</f>
        <v/>
      </c>
      <c r="Q59" s="42">
        <f>MIN(O59*(1-Parametros!$B$13),P59)</f>
        <v/>
      </c>
      <c r="R59" s="43">
        <f>IF(M59=1,MAX(0,1-Q59/(1+Parametros!$B$20)^Parametros!$B$14/N59),0)</f>
        <v/>
      </c>
      <c r="S59" s="43">
        <f>IF(M59=1,Parametros!$B$15*R59+(1-Parametros!$B$15),0)</f>
        <v/>
      </c>
      <c r="T59" s="42">
        <f>IF(M59=1,-Parametros!$B$7-Parametros!$B$22+INDEX($G$18:$G$81,A59-3)+Parametros!$B$15*Q59/(1+Parametros!$B$20)^(A59+Parametros!$B$14),0)</f>
        <v/>
      </c>
      <c r="U59" s="42">
        <f>IF(M59=1,INDEX($I$18:$I$81,A59-3),0)</f>
        <v/>
      </c>
      <c r="V59" s="42">
        <f>IF(M59=1,-Parametros!$B$7-Parametros!$B$22+INDEX($L$18:$L$81,A59-3)+Parametros!$B$15*MIN(O59*(1-Parametros!$B$13),U59*(1+Parametros!$B$27)^(3+Parametros!$B$14))/(1+Parametros!$B$20)^(A59+Parametros!$B$14),0)</f>
        <v/>
      </c>
      <c r="W59" s="44">
        <f>IF(M59=1,((A59-3)/(Parametros!$B$16-3))*EXP(1-(A59-3)/(Parametros!$B$16-3)),0)</f>
        <v/>
      </c>
      <c r="X59" s="44">
        <f>W59+X58</f>
        <v/>
      </c>
      <c r="Y59" s="45">
        <f>W59/$B$9</f>
        <v/>
      </c>
      <c r="Z59" s="42">
        <f>S59*N59/(1+Parametros!$B$20)^A59</f>
        <v/>
      </c>
      <c r="AA59" s="41">
        <f>IF(AND(M59=1,O59*(1-Parametros!$B$13)&gt;=N59),1,0)</f>
        <v/>
      </c>
    </row>
    <row r="60">
      <c r="A60" s="41" t="n">
        <v>42</v>
      </c>
      <c r="B60" s="41">
        <f>IF(A60&lt;=Parametros!$B$10,1,0)</f>
        <v/>
      </c>
      <c r="C60" s="42">
        <f>IF(AND(A60&gt;=1,A60&lt;=Parametros!$B$10),$B$4,0)</f>
        <v/>
      </c>
      <c r="D60" s="42">
        <f>IF(A60&lt;=Parametros!$B$10,Parametros!$B$7*((1+Parametros!$B$8)^Parametros!$B$10-(1+Parametros!$B$8)^A60)/((1+Parametros!$B$8)^Parametros!$B$10-1),0)</f>
        <v/>
      </c>
      <c r="E60" s="42">
        <f>IF(AND(A60&gt;=1,A60&lt;=Parametros!$B$10),Parametros!$B$21/12*D59,0)</f>
        <v/>
      </c>
      <c r="F60" s="42">
        <f>C60-E60</f>
        <v/>
      </c>
      <c r="G60" s="42">
        <f>F60/(1+Parametros!$B$20)^A60+G59</f>
        <v/>
      </c>
      <c r="H60" s="42">
        <f>IF(AND(A60&gt;=1,A60&lt;=Parametros!$B$10),$B$5,0)</f>
        <v/>
      </c>
      <c r="I60" s="42">
        <f>IF(A60&lt;=Parametros!$B$10,Parametros!$B$7*((1+Parametros!$B$27)^Parametros!$B$10-(1+Parametros!$B$27)^A60)/((1+Parametros!$B$27)^Parametros!$B$10-1),0)</f>
        <v/>
      </c>
      <c r="J60" s="42">
        <f>IF(AND(A60&gt;=1,A60&lt;=Parametros!$B$10),Parametros!$B$21/12*I59,0)</f>
        <v/>
      </c>
      <c r="K60" s="42">
        <f>H60-J60</f>
        <v/>
      </c>
      <c r="L60" s="42">
        <f>K60/(1+Parametros!$B$20)^A60+L59</f>
        <v/>
      </c>
      <c r="M60" s="41">
        <f>IF(AND(A60&gt;=4,A60&lt;=Parametros!$B$10+3),1,0)</f>
        <v/>
      </c>
      <c r="N60" s="42">
        <f>IF(M60=1,INDEX($D$18:$D$81,A60-3),0)</f>
        <v/>
      </c>
      <c r="O60" s="42">
        <f>IF(M60=1,Parametros!$B$5*(1-Parametros!$B$12)*(1-Parametros!$B$11)^((A60+Parametros!$B$14)/12),0)</f>
        <v/>
      </c>
      <c r="P60" s="42">
        <f>N60*(1+Parametros!$B$8)^(3+Parametros!$B$14)</f>
        <v/>
      </c>
      <c r="Q60" s="42">
        <f>MIN(O60*(1-Parametros!$B$13),P60)</f>
        <v/>
      </c>
      <c r="R60" s="43">
        <f>IF(M60=1,MAX(0,1-Q60/(1+Parametros!$B$20)^Parametros!$B$14/N60),0)</f>
        <v/>
      </c>
      <c r="S60" s="43">
        <f>IF(M60=1,Parametros!$B$15*R60+(1-Parametros!$B$15),0)</f>
        <v/>
      </c>
      <c r="T60" s="42">
        <f>IF(M60=1,-Parametros!$B$7-Parametros!$B$22+INDEX($G$18:$G$81,A60-3)+Parametros!$B$15*Q60/(1+Parametros!$B$20)^(A60+Parametros!$B$14),0)</f>
        <v/>
      </c>
      <c r="U60" s="42">
        <f>IF(M60=1,INDEX($I$18:$I$81,A60-3),0)</f>
        <v/>
      </c>
      <c r="V60" s="42">
        <f>IF(M60=1,-Parametros!$B$7-Parametros!$B$22+INDEX($L$18:$L$81,A60-3)+Parametros!$B$15*MIN(O60*(1-Parametros!$B$13),U60*(1+Parametros!$B$27)^(3+Parametros!$B$14))/(1+Parametros!$B$20)^(A60+Parametros!$B$14),0)</f>
        <v/>
      </c>
      <c r="W60" s="44">
        <f>IF(M60=1,((A60-3)/(Parametros!$B$16-3))*EXP(1-(A60-3)/(Parametros!$B$16-3)),0)</f>
        <v/>
      </c>
      <c r="X60" s="44">
        <f>W60+X59</f>
        <v/>
      </c>
      <c r="Y60" s="45">
        <f>W60/$B$9</f>
        <v/>
      </c>
      <c r="Z60" s="42">
        <f>S60*N60/(1+Parametros!$B$20)^A60</f>
        <v/>
      </c>
      <c r="AA60" s="41">
        <f>IF(AND(M60=1,O60*(1-Parametros!$B$13)&gt;=N60),1,0)</f>
        <v/>
      </c>
    </row>
    <row r="61">
      <c r="A61" s="41" t="n">
        <v>43</v>
      </c>
      <c r="B61" s="41">
        <f>IF(A61&lt;=Parametros!$B$10,1,0)</f>
        <v/>
      </c>
      <c r="C61" s="42">
        <f>IF(AND(A61&gt;=1,A61&lt;=Parametros!$B$10),$B$4,0)</f>
        <v/>
      </c>
      <c r="D61" s="42">
        <f>IF(A61&lt;=Parametros!$B$10,Parametros!$B$7*((1+Parametros!$B$8)^Parametros!$B$10-(1+Parametros!$B$8)^A61)/((1+Parametros!$B$8)^Parametros!$B$10-1),0)</f>
        <v/>
      </c>
      <c r="E61" s="42">
        <f>IF(AND(A61&gt;=1,A61&lt;=Parametros!$B$10),Parametros!$B$21/12*D60,0)</f>
        <v/>
      </c>
      <c r="F61" s="42">
        <f>C61-E61</f>
        <v/>
      </c>
      <c r="G61" s="42">
        <f>F61/(1+Parametros!$B$20)^A61+G60</f>
        <v/>
      </c>
      <c r="H61" s="42">
        <f>IF(AND(A61&gt;=1,A61&lt;=Parametros!$B$10),$B$5,0)</f>
        <v/>
      </c>
      <c r="I61" s="42">
        <f>IF(A61&lt;=Parametros!$B$10,Parametros!$B$7*((1+Parametros!$B$27)^Parametros!$B$10-(1+Parametros!$B$27)^A61)/((1+Parametros!$B$27)^Parametros!$B$10-1),0)</f>
        <v/>
      </c>
      <c r="J61" s="42">
        <f>IF(AND(A61&gt;=1,A61&lt;=Parametros!$B$10),Parametros!$B$21/12*I60,0)</f>
        <v/>
      </c>
      <c r="K61" s="42">
        <f>H61-J61</f>
        <v/>
      </c>
      <c r="L61" s="42">
        <f>K61/(1+Parametros!$B$20)^A61+L60</f>
        <v/>
      </c>
      <c r="M61" s="41">
        <f>IF(AND(A61&gt;=4,A61&lt;=Parametros!$B$10+3),1,0)</f>
        <v/>
      </c>
      <c r="N61" s="42">
        <f>IF(M61=1,INDEX($D$18:$D$81,A61-3),0)</f>
        <v/>
      </c>
      <c r="O61" s="42">
        <f>IF(M61=1,Parametros!$B$5*(1-Parametros!$B$12)*(1-Parametros!$B$11)^((A61+Parametros!$B$14)/12),0)</f>
        <v/>
      </c>
      <c r="P61" s="42">
        <f>N61*(1+Parametros!$B$8)^(3+Parametros!$B$14)</f>
        <v/>
      </c>
      <c r="Q61" s="42">
        <f>MIN(O61*(1-Parametros!$B$13),P61)</f>
        <v/>
      </c>
      <c r="R61" s="43">
        <f>IF(M61=1,MAX(0,1-Q61/(1+Parametros!$B$20)^Parametros!$B$14/N61),0)</f>
        <v/>
      </c>
      <c r="S61" s="43">
        <f>IF(M61=1,Parametros!$B$15*R61+(1-Parametros!$B$15),0)</f>
        <v/>
      </c>
      <c r="T61" s="42">
        <f>IF(M61=1,-Parametros!$B$7-Parametros!$B$22+INDEX($G$18:$G$81,A61-3)+Parametros!$B$15*Q61/(1+Parametros!$B$20)^(A61+Parametros!$B$14),0)</f>
        <v/>
      </c>
      <c r="U61" s="42">
        <f>IF(M61=1,INDEX($I$18:$I$81,A61-3),0)</f>
        <v/>
      </c>
      <c r="V61" s="42">
        <f>IF(M61=1,-Parametros!$B$7-Parametros!$B$22+INDEX($L$18:$L$81,A61-3)+Parametros!$B$15*MIN(O61*(1-Parametros!$B$13),U61*(1+Parametros!$B$27)^(3+Parametros!$B$14))/(1+Parametros!$B$20)^(A61+Parametros!$B$14),0)</f>
        <v/>
      </c>
      <c r="W61" s="44">
        <f>IF(M61=1,((A61-3)/(Parametros!$B$16-3))*EXP(1-(A61-3)/(Parametros!$B$16-3)),0)</f>
        <v/>
      </c>
      <c r="X61" s="44">
        <f>W61+X60</f>
        <v/>
      </c>
      <c r="Y61" s="45">
        <f>W61/$B$9</f>
        <v/>
      </c>
      <c r="Z61" s="42">
        <f>S61*N61/(1+Parametros!$B$20)^A61</f>
        <v/>
      </c>
      <c r="AA61" s="41">
        <f>IF(AND(M61=1,O61*(1-Parametros!$B$13)&gt;=N61),1,0)</f>
        <v/>
      </c>
    </row>
    <row r="62">
      <c r="A62" s="41" t="n">
        <v>44</v>
      </c>
      <c r="B62" s="41">
        <f>IF(A62&lt;=Parametros!$B$10,1,0)</f>
        <v/>
      </c>
      <c r="C62" s="42">
        <f>IF(AND(A62&gt;=1,A62&lt;=Parametros!$B$10),$B$4,0)</f>
        <v/>
      </c>
      <c r="D62" s="42">
        <f>IF(A62&lt;=Parametros!$B$10,Parametros!$B$7*((1+Parametros!$B$8)^Parametros!$B$10-(1+Parametros!$B$8)^A62)/((1+Parametros!$B$8)^Parametros!$B$10-1),0)</f>
        <v/>
      </c>
      <c r="E62" s="42">
        <f>IF(AND(A62&gt;=1,A62&lt;=Parametros!$B$10),Parametros!$B$21/12*D61,0)</f>
        <v/>
      </c>
      <c r="F62" s="42">
        <f>C62-E62</f>
        <v/>
      </c>
      <c r="G62" s="42">
        <f>F62/(1+Parametros!$B$20)^A62+G61</f>
        <v/>
      </c>
      <c r="H62" s="42">
        <f>IF(AND(A62&gt;=1,A62&lt;=Parametros!$B$10),$B$5,0)</f>
        <v/>
      </c>
      <c r="I62" s="42">
        <f>IF(A62&lt;=Parametros!$B$10,Parametros!$B$7*((1+Parametros!$B$27)^Parametros!$B$10-(1+Parametros!$B$27)^A62)/((1+Parametros!$B$27)^Parametros!$B$10-1),0)</f>
        <v/>
      </c>
      <c r="J62" s="42">
        <f>IF(AND(A62&gt;=1,A62&lt;=Parametros!$B$10),Parametros!$B$21/12*I61,0)</f>
        <v/>
      </c>
      <c r="K62" s="42">
        <f>H62-J62</f>
        <v/>
      </c>
      <c r="L62" s="42">
        <f>K62/(1+Parametros!$B$20)^A62+L61</f>
        <v/>
      </c>
      <c r="M62" s="41">
        <f>IF(AND(A62&gt;=4,A62&lt;=Parametros!$B$10+3),1,0)</f>
        <v/>
      </c>
      <c r="N62" s="42">
        <f>IF(M62=1,INDEX($D$18:$D$81,A62-3),0)</f>
        <v/>
      </c>
      <c r="O62" s="42">
        <f>IF(M62=1,Parametros!$B$5*(1-Parametros!$B$12)*(1-Parametros!$B$11)^((A62+Parametros!$B$14)/12),0)</f>
        <v/>
      </c>
      <c r="P62" s="42">
        <f>N62*(1+Parametros!$B$8)^(3+Parametros!$B$14)</f>
        <v/>
      </c>
      <c r="Q62" s="42">
        <f>MIN(O62*(1-Parametros!$B$13),P62)</f>
        <v/>
      </c>
      <c r="R62" s="43">
        <f>IF(M62=1,MAX(0,1-Q62/(1+Parametros!$B$20)^Parametros!$B$14/N62),0)</f>
        <v/>
      </c>
      <c r="S62" s="43">
        <f>IF(M62=1,Parametros!$B$15*R62+(1-Parametros!$B$15),0)</f>
        <v/>
      </c>
      <c r="T62" s="42">
        <f>IF(M62=1,-Parametros!$B$7-Parametros!$B$22+INDEX($G$18:$G$81,A62-3)+Parametros!$B$15*Q62/(1+Parametros!$B$20)^(A62+Parametros!$B$14),0)</f>
        <v/>
      </c>
      <c r="U62" s="42">
        <f>IF(M62=1,INDEX($I$18:$I$81,A62-3),0)</f>
        <v/>
      </c>
      <c r="V62" s="42">
        <f>IF(M62=1,-Parametros!$B$7-Parametros!$B$22+INDEX($L$18:$L$81,A62-3)+Parametros!$B$15*MIN(O62*(1-Parametros!$B$13),U62*(1+Parametros!$B$27)^(3+Parametros!$B$14))/(1+Parametros!$B$20)^(A62+Parametros!$B$14),0)</f>
        <v/>
      </c>
      <c r="W62" s="44">
        <f>IF(M62=1,((A62-3)/(Parametros!$B$16-3))*EXP(1-(A62-3)/(Parametros!$B$16-3)),0)</f>
        <v/>
      </c>
      <c r="X62" s="44">
        <f>W62+X61</f>
        <v/>
      </c>
      <c r="Y62" s="45">
        <f>W62/$B$9</f>
        <v/>
      </c>
      <c r="Z62" s="42">
        <f>S62*N62/(1+Parametros!$B$20)^A62</f>
        <v/>
      </c>
      <c r="AA62" s="41">
        <f>IF(AND(M62=1,O62*(1-Parametros!$B$13)&gt;=N62),1,0)</f>
        <v/>
      </c>
    </row>
    <row r="63">
      <c r="A63" s="41" t="n">
        <v>45</v>
      </c>
      <c r="B63" s="41">
        <f>IF(A63&lt;=Parametros!$B$10,1,0)</f>
        <v/>
      </c>
      <c r="C63" s="42">
        <f>IF(AND(A63&gt;=1,A63&lt;=Parametros!$B$10),$B$4,0)</f>
        <v/>
      </c>
      <c r="D63" s="42">
        <f>IF(A63&lt;=Parametros!$B$10,Parametros!$B$7*((1+Parametros!$B$8)^Parametros!$B$10-(1+Parametros!$B$8)^A63)/((1+Parametros!$B$8)^Parametros!$B$10-1),0)</f>
        <v/>
      </c>
      <c r="E63" s="42">
        <f>IF(AND(A63&gt;=1,A63&lt;=Parametros!$B$10),Parametros!$B$21/12*D62,0)</f>
        <v/>
      </c>
      <c r="F63" s="42">
        <f>C63-E63</f>
        <v/>
      </c>
      <c r="G63" s="42">
        <f>F63/(1+Parametros!$B$20)^A63+G62</f>
        <v/>
      </c>
      <c r="H63" s="42">
        <f>IF(AND(A63&gt;=1,A63&lt;=Parametros!$B$10),$B$5,0)</f>
        <v/>
      </c>
      <c r="I63" s="42">
        <f>IF(A63&lt;=Parametros!$B$10,Parametros!$B$7*((1+Parametros!$B$27)^Parametros!$B$10-(1+Parametros!$B$27)^A63)/((1+Parametros!$B$27)^Parametros!$B$10-1),0)</f>
        <v/>
      </c>
      <c r="J63" s="42">
        <f>IF(AND(A63&gt;=1,A63&lt;=Parametros!$B$10),Parametros!$B$21/12*I62,0)</f>
        <v/>
      </c>
      <c r="K63" s="42">
        <f>H63-J63</f>
        <v/>
      </c>
      <c r="L63" s="42">
        <f>K63/(1+Parametros!$B$20)^A63+L62</f>
        <v/>
      </c>
      <c r="M63" s="41">
        <f>IF(AND(A63&gt;=4,A63&lt;=Parametros!$B$10+3),1,0)</f>
        <v/>
      </c>
      <c r="N63" s="42">
        <f>IF(M63=1,INDEX($D$18:$D$81,A63-3),0)</f>
        <v/>
      </c>
      <c r="O63" s="42">
        <f>IF(M63=1,Parametros!$B$5*(1-Parametros!$B$12)*(1-Parametros!$B$11)^((A63+Parametros!$B$14)/12),0)</f>
        <v/>
      </c>
      <c r="P63" s="42">
        <f>N63*(1+Parametros!$B$8)^(3+Parametros!$B$14)</f>
        <v/>
      </c>
      <c r="Q63" s="42">
        <f>MIN(O63*(1-Parametros!$B$13),P63)</f>
        <v/>
      </c>
      <c r="R63" s="43">
        <f>IF(M63=1,MAX(0,1-Q63/(1+Parametros!$B$20)^Parametros!$B$14/N63),0)</f>
        <v/>
      </c>
      <c r="S63" s="43">
        <f>IF(M63=1,Parametros!$B$15*R63+(1-Parametros!$B$15),0)</f>
        <v/>
      </c>
      <c r="T63" s="42">
        <f>IF(M63=1,-Parametros!$B$7-Parametros!$B$22+INDEX($G$18:$G$81,A63-3)+Parametros!$B$15*Q63/(1+Parametros!$B$20)^(A63+Parametros!$B$14),0)</f>
        <v/>
      </c>
      <c r="U63" s="42">
        <f>IF(M63=1,INDEX($I$18:$I$81,A63-3),0)</f>
        <v/>
      </c>
      <c r="V63" s="42">
        <f>IF(M63=1,-Parametros!$B$7-Parametros!$B$22+INDEX($L$18:$L$81,A63-3)+Parametros!$B$15*MIN(O63*(1-Parametros!$B$13),U63*(1+Parametros!$B$27)^(3+Parametros!$B$14))/(1+Parametros!$B$20)^(A63+Parametros!$B$14),0)</f>
        <v/>
      </c>
      <c r="W63" s="44">
        <f>IF(M63=1,((A63-3)/(Parametros!$B$16-3))*EXP(1-(A63-3)/(Parametros!$B$16-3)),0)</f>
        <v/>
      </c>
      <c r="X63" s="44">
        <f>W63+X62</f>
        <v/>
      </c>
      <c r="Y63" s="45">
        <f>W63/$B$9</f>
        <v/>
      </c>
      <c r="Z63" s="42">
        <f>S63*N63/(1+Parametros!$B$20)^A63</f>
        <v/>
      </c>
      <c r="AA63" s="41">
        <f>IF(AND(M63=1,O63*(1-Parametros!$B$13)&gt;=N63),1,0)</f>
        <v/>
      </c>
    </row>
    <row r="64">
      <c r="A64" s="41" t="n">
        <v>46</v>
      </c>
      <c r="B64" s="41">
        <f>IF(A64&lt;=Parametros!$B$10,1,0)</f>
        <v/>
      </c>
      <c r="C64" s="42">
        <f>IF(AND(A64&gt;=1,A64&lt;=Parametros!$B$10),$B$4,0)</f>
        <v/>
      </c>
      <c r="D64" s="42">
        <f>IF(A64&lt;=Parametros!$B$10,Parametros!$B$7*((1+Parametros!$B$8)^Parametros!$B$10-(1+Parametros!$B$8)^A64)/((1+Parametros!$B$8)^Parametros!$B$10-1),0)</f>
        <v/>
      </c>
      <c r="E64" s="42">
        <f>IF(AND(A64&gt;=1,A64&lt;=Parametros!$B$10),Parametros!$B$21/12*D63,0)</f>
        <v/>
      </c>
      <c r="F64" s="42">
        <f>C64-E64</f>
        <v/>
      </c>
      <c r="G64" s="42">
        <f>F64/(1+Parametros!$B$20)^A64+G63</f>
        <v/>
      </c>
      <c r="H64" s="42">
        <f>IF(AND(A64&gt;=1,A64&lt;=Parametros!$B$10),$B$5,0)</f>
        <v/>
      </c>
      <c r="I64" s="42">
        <f>IF(A64&lt;=Parametros!$B$10,Parametros!$B$7*((1+Parametros!$B$27)^Parametros!$B$10-(1+Parametros!$B$27)^A64)/((1+Parametros!$B$27)^Parametros!$B$10-1),0)</f>
        <v/>
      </c>
      <c r="J64" s="42">
        <f>IF(AND(A64&gt;=1,A64&lt;=Parametros!$B$10),Parametros!$B$21/12*I63,0)</f>
        <v/>
      </c>
      <c r="K64" s="42">
        <f>H64-J64</f>
        <v/>
      </c>
      <c r="L64" s="42">
        <f>K64/(1+Parametros!$B$20)^A64+L63</f>
        <v/>
      </c>
      <c r="M64" s="41">
        <f>IF(AND(A64&gt;=4,A64&lt;=Parametros!$B$10+3),1,0)</f>
        <v/>
      </c>
      <c r="N64" s="42">
        <f>IF(M64=1,INDEX($D$18:$D$81,A64-3),0)</f>
        <v/>
      </c>
      <c r="O64" s="42">
        <f>IF(M64=1,Parametros!$B$5*(1-Parametros!$B$12)*(1-Parametros!$B$11)^((A64+Parametros!$B$14)/12),0)</f>
        <v/>
      </c>
      <c r="P64" s="42">
        <f>N64*(1+Parametros!$B$8)^(3+Parametros!$B$14)</f>
        <v/>
      </c>
      <c r="Q64" s="42">
        <f>MIN(O64*(1-Parametros!$B$13),P64)</f>
        <v/>
      </c>
      <c r="R64" s="43">
        <f>IF(M64=1,MAX(0,1-Q64/(1+Parametros!$B$20)^Parametros!$B$14/N64),0)</f>
        <v/>
      </c>
      <c r="S64" s="43">
        <f>IF(M64=1,Parametros!$B$15*R64+(1-Parametros!$B$15),0)</f>
        <v/>
      </c>
      <c r="T64" s="42">
        <f>IF(M64=1,-Parametros!$B$7-Parametros!$B$22+INDEX($G$18:$G$81,A64-3)+Parametros!$B$15*Q64/(1+Parametros!$B$20)^(A64+Parametros!$B$14),0)</f>
        <v/>
      </c>
      <c r="U64" s="42">
        <f>IF(M64=1,INDEX($I$18:$I$81,A64-3),0)</f>
        <v/>
      </c>
      <c r="V64" s="42">
        <f>IF(M64=1,-Parametros!$B$7-Parametros!$B$22+INDEX($L$18:$L$81,A64-3)+Parametros!$B$15*MIN(O64*(1-Parametros!$B$13),U64*(1+Parametros!$B$27)^(3+Parametros!$B$14))/(1+Parametros!$B$20)^(A64+Parametros!$B$14),0)</f>
        <v/>
      </c>
      <c r="W64" s="44">
        <f>IF(M64=1,((A64-3)/(Parametros!$B$16-3))*EXP(1-(A64-3)/(Parametros!$B$16-3)),0)</f>
        <v/>
      </c>
      <c r="X64" s="44">
        <f>W64+X63</f>
        <v/>
      </c>
      <c r="Y64" s="45">
        <f>W64/$B$9</f>
        <v/>
      </c>
      <c r="Z64" s="42">
        <f>S64*N64/(1+Parametros!$B$20)^A64</f>
        <v/>
      </c>
      <c r="AA64" s="41">
        <f>IF(AND(M64=1,O64*(1-Parametros!$B$13)&gt;=N64),1,0)</f>
        <v/>
      </c>
    </row>
    <row r="65">
      <c r="A65" s="41" t="n">
        <v>47</v>
      </c>
      <c r="B65" s="41">
        <f>IF(A65&lt;=Parametros!$B$10,1,0)</f>
        <v/>
      </c>
      <c r="C65" s="42">
        <f>IF(AND(A65&gt;=1,A65&lt;=Parametros!$B$10),$B$4,0)</f>
        <v/>
      </c>
      <c r="D65" s="42">
        <f>IF(A65&lt;=Parametros!$B$10,Parametros!$B$7*((1+Parametros!$B$8)^Parametros!$B$10-(1+Parametros!$B$8)^A65)/((1+Parametros!$B$8)^Parametros!$B$10-1),0)</f>
        <v/>
      </c>
      <c r="E65" s="42">
        <f>IF(AND(A65&gt;=1,A65&lt;=Parametros!$B$10),Parametros!$B$21/12*D64,0)</f>
        <v/>
      </c>
      <c r="F65" s="42">
        <f>C65-E65</f>
        <v/>
      </c>
      <c r="G65" s="42">
        <f>F65/(1+Parametros!$B$20)^A65+G64</f>
        <v/>
      </c>
      <c r="H65" s="42">
        <f>IF(AND(A65&gt;=1,A65&lt;=Parametros!$B$10),$B$5,0)</f>
        <v/>
      </c>
      <c r="I65" s="42">
        <f>IF(A65&lt;=Parametros!$B$10,Parametros!$B$7*((1+Parametros!$B$27)^Parametros!$B$10-(1+Parametros!$B$27)^A65)/((1+Parametros!$B$27)^Parametros!$B$10-1),0)</f>
        <v/>
      </c>
      <c r="J65" s="42">
        <f>IF(AND(A65&gt;=1,A65&lt;=Parametros!$B$10),Parametros!$B$21/12*I64,0)</f>
        <v/>
      </c>
      <c r="K65" s="42">
        <f>H65-J65</f>
        <v/>
      </c>
      <c r="L65" s="42">
        <f>K65/(1+Parametros!$B$20)^A65+L64</f>
        <v/>
      </c>
      <c r="M65" s="41">
        <f>IF(AND(A65&gt;=4,A65&lt;=Parametros!$B$10+3),1,0)</f>
        <v/>
      </c>
      <c r="N65" s="42">
        <f>IF(M65=1,INDEX($D$18:$D$81,A65-3),0)</f>
        <v/>
      </c>
      <c r="O65" s="42">
        <f>IF(M65=1,Parametros!$B$5*(1-Parametros!$B$12)*(1-Parametros!$B$11)^((A65+Parametros!$B$14)/12),0)</f>
        <v/>
      </c>
      <c r="P65" s="42">
        <f>N65*(1+Parametros!$B$8)^(3+Parametros!$B$14)</f>
        <v/>
      </c>
      <c r="Q65" s="42">
        <f>MIN(O65*(1-Parametros!$B$13),P65)</f>
        <v/>
      </c>
      <c r="R65" s="43">
        <f>IF(M65=1,MAX(0,1-Q65/(1+Parametros!$B$20)^Parametros!$B$14/N65),0)</f>
        <v/>
      </c>
      <c r="S65" s="43">
        <f>IF(M65=1,Parametros!$B$15*R65+(1-Parametros!$B$15),0)</f>
        <v/>
      </c>
      <c r="T65" s="42">
        <f>IF(M65=1,-Parametros!$B$7-Parametros!$B$22+INDEX($G$18:$G$81,A65-3)+Parametros!$B$15*Q65/(1+Parametros!$B$20)^(A65+Parametros!$B$14),0)</f>
        <v/>
      </c>
      <c r="U65" s="42">
        <f>IF(M65=1,INDEX($I$18:$I$81,A65-3),0)</f>
        <v/>
      </c>
      <c r="V65" s="42">
        <f>IF(M65=1,-Parametros!$B$7-Parametros!$B$22+INDEX($L$18:$L$81,A65-3)+Parametros!$B$15*MIN(O65*(1-Parametros!$B$13),U65*(1+Parametros!$B$27)^(3+Parametros!$B$14))/(1+Parametros!$B$20)^(A65+Parametros!$B$14),0)</f>
        <v/>
      </c>
      <c r="W65" s="44">
        <f>IF(M65=1,((A65-3)/(Parametros!$B$16-3))*EXP(1-(A65-3)/(Parametros!$B$16-3)),0)</f>
        <v/>
      </c>
      <c r="X65" s="44">
        <f>W65+X64</f>
        <v/>
      </c>
      <c r="Y65" s="45">
        <f>W65/$B$9</f>
        <v/>
      </c>
      <c r="Z65" s="42">
        <f>S65*N65/(1+Parametros!$B$20)^A65</f>
        <v/>
      </c>
      <c r="AA65" s="41">
        <f>IF(AND(M65=1,O65*(1-Parametros!$B$13)&gt;=N65),1,0)</f>
        <v/>
      </c>
    </row>
    <row r="66">
      <c r="A66" s="41" t="n">
        <v>48</v>
      </c>
      <c r="B66" s="41">
        <f>IF(A66&lt;=Parametros!$B$10,1,0)</f>
        <v/>
      </c>
      <c r="C66" s="42">
        <f>IF(AND(A66&gt;=1,A66&lt;=Parametros!$B$10),$B$4,0)</f>
        <v/>
      </c>
      <c r="D66" s="42">
        <f>IF(A66&lt;=Parametros!$B$10,Parametros!$B$7*((1+Parametros!$B$8)^Parametros!$B$10-(1+Parametros!$B$8)^A66)/((1+Parametros!$B$8)^Parametros!$B$10-1),0)</f>
        <v/>
      </c>
      <c r="E66" s="42">
        <f>IF(AND(A66&gt;=1,A66&lt;=Parametros!$B$10),Parametros!$B$21/12*D65,0)</f>
        <v/>
      </c>
      <c r="F66" s="42">
        <f>C66-E66</f>
        <v/>
      </c>
      <c r="G66" s="42">
        <f>F66/(1+Parametros!$B$20)^A66+G65</f>
        <v/>
      </c>
      <c r="H66" s="42">
        <f>IF(AND(A66&gt;=1,A66&lt;=Parametros!$B$10),$B$5,0)</f>
        <v/>
      </c>
      <c r="I66" s="42">
        <f>IF(A66&lt;=Parametros!$B$10,Parametros!$B$7*((1+Parametros!$B$27)^Parametros!$B$10-(1+Parametros!$B$27)^A66)/((1+Parametros!$B$27)^Parametros!$B$10-1),0)</f>
        <v/>
      </c>
      <c r="J66" s="42">
        <f>IF(AND(A66&gt;=1,A66&lt;=Parametros!$B$10),Parametros!$B$21/12*I65,0)</f>
        <v/>
      </c>
      <c r="K66" s="42">
        <f>H66-J66</f>
        <v/>
      </c>
      <c r="L66" s="42">
        <f>K66/(1+Parametros!$B$20)^A66+L65</f>
        <v/>
      </c>
      <c r="M66" s="41">
        <f>IF(AND(A66&gt;=4,A66&lt;=Parametros!$B$10+3),1,0)</f>
        <v/>
      </c>
      <c r="N66" s="42">
        <f>IF(M66=1,INDEX($D$18:$D$81,A66-3),0)</f>
        <v/>
      </c>
      <c r="O66" s="42">
        <f>IF(M66=1,Parametros!$B$5*(1-Parametros!$B$12)*(1-Parametros!$B$11)^((A66+Parametros!$B$14)/12),0)</f>
        <v/>
      </c>
      <c r="P66" s="42">
        <f>N66*(1+Parametros!$B$8)^(3+Parametros!$B$14)</f>
        <v/>
      </c>
      <c r="Q66" s="42">
        <f>MIN(O66*(1-Parametros!$B$13),P66)</f>
        <v/>
      </c>
      <c r="R66" s="43">
        <f>IF(M66=1,MAX(0,1-Q66/(1+Parametros!$B$20)^Parametros!$B$14/N66),0)</f>
        <v/>
      </c>
      <c r="S66" s="43">
        <f>IF(M66=1,Parametros!$B$15*R66+(1-Parametros!$B$15),0)</f>
        <v/>
      </c>
      <c r="T66" s="42">
        <f>IF(M66=1,-Parametros!$B$7-Parametros!$B$22+INDEX($G$18:$G$81,A66-3)+Parametros!$B$15*Q66/(1+Parametros!$B$20)^(A66+Parametros!$B$14),0)</f>
        <v/>
      </c>
      <c r="U66" s="42">
        <f>IF(M66=1,INDEX($I$18:$I$81,A66-3),0)</f>
        <v/>
      </c>
      <c r="V66" s="42">
        <f>IF(M66=1,-Parametros!$B$7-Parametros!$B$22+INDEX($L$18:$L$81,A66-3)+Parametros!$B$15*MIN(O66*(1-Parametros!$B$13),U66*(1+Parametros!$B$27)^(3+Parametros!$B$14))/(1+Parametros!$B$20)^(A66+Parametros!$B$14),0)</f>
        <v/>
      </c>
      <c r="W66" s="44">
        <f>IF(M66=1,((A66-3)/(Parametros!$B$16-3))*EXP(1-(A66-3)/(Parametros!$B$16-3)),0)</f>
        <v/>
      </c>
      <c r="X66" s="44">
        <f>W66+X65</f>
        <v/>
      </c>
      <c r="Y66" s="45">
        <f>W66/$B$9</f>
        <v/>
      </c>
      <c r="Z66" s="42">
        <f>S66*N66/(1+Parametros!$B$20)^A66</f>
        <v/>
      </c>
      <c r="AA66" s="41">
        <f>IF(AND(M66=1,O66*(1-Parametros!$B$13)&gt;=N66),1,0)</f>
        <v/>
      </c>
    </row>
    <row r="67">
      <c r="A67" s="41" t="n">
        <v>49</v>
      </c>
      <c r="B67" s="41">
        <f>IF(A67&lt;=Parametros!$B$10,1,0)</f>
        <v/>
      </c>
      <c r="C67" s="42">
        <f>IF(AND(A67&gt;=1,A67&lt;=Parametros!$B$10),$B$4,0)</f>
        <v/>
      </c>
      <c r="D67" s="42">
        <f>IF(A67&lt;=Parametros!$B$10,Parametros!$B$7*((1+Parametros!$B$8)^Parametros!$B$10-(1+Parametros!$B$8)^A67)/((1+Parametros!$B$8)^Parametros!$B$10-1),0)</f>
        <v/>
      </c>
      <c r="E67" s="42">
        <f>IF(AND(A67&gt;=1,A67&lt;=Parametros!$B$10),Parametros!$B$21/12*D66,0)</f>
        <v/>
      </c>
      <c r="F67" s="42">
        <f>C67-E67</f>
        <v/>
      </c>
      <c r="G67" s="42">
        <f>F67/(1+Parametros!$B$20)^A67+G66</f>
        <v/>
      </c>
      <c r="H67" s="42">
        <f>IF(AND(A67&gt;=1,A67&lt;=Parametros!$B$10),$B$5,0)</f>
        <v/>
      </c>
      <c r="I67" s="42">
        <f>IF(A67&lt;=Parametros!$B$10,Parametros!$B$7*((1+Parametros!$B$27)^Parametros!$B$10-(1+Parametros!$B$27)^A67)/((1+Parametros!$B$27)^Parametros!$B$10-1),0)</f>
        <v/>
      </c>
      <c r="J67" s="42">
        <f>IF(AND(A67&gt;=1,A67&lt;=Parametros!$B$10),Parametros!$B$21/12*I66,0)</f>
        <v/>
      </c>
      <c r="K67" s="42">
        <f>H67-J67</f>
        <v/>
      </c>
      <c r="L67" s="42">
        <f>K67/(1+Parametros!$B$20)^A67+L66</f>
        <v/>
      </c>
      <c r="M67" s="41">
        <f>IF(AND(A67&gt;=4,A67&lt;=Parametros!$B$10+3),1,0)</f>
        <v/>
      </c>
      <c r="N67" s="42">
        <f>IF(M67=1,INDEX($D$18:$D$81,A67-3),0)</f>
        <v/>
      </c>
      <c r="O67" s="42">
        <f>IF(M67=1,Parametros!$B$5*(1-Parametros!$B$12)*(1-Parametros!$B$11)^((A67+Parametros!$B$14)/12),0)</f>
        <v/>
      </c>
      <c r="P67" s="42">
        <f>N67*(1+Parametros!$B$8)^(3+Parametros!$B$14)</f>
        <v/>
      </c>
      <c r="Q67" s="42">
        <f>MIN(O67*(1-Parametros!$B$13),P67)</f>
        <v/>
      </c>
      <c r="R67" s="43">
        <f>IF(M67=1,MAX(0,1-Q67/(1+Parametros!$B$20)^Parametros!$B$14/N67),0)</f>
        <v/>
      </c>
      <c r="S67" s="43">
        <f>IF(M67=1,Parametros!$B$15*R67+(1-Parametros!$B$15),0)</f>
        <v/>
      </c>
      <c r="T67" s="42">
        <f>IF(M67=1,-Parametros!$B$7-Parametros!$B$22+INDEX($G$18:$G$81,A67-3)+Parametros!$B$15*Q67/(1+Parametros!$B$20)^(A67+Parametros!$B$14),0)</f>
        <v/>
      </c>
      <c r="U67" s="42">
        <f>IF(M67=1,INDEX($I$18:$I$81,A67-3),0)</f>
        <v/>
      </c>
      <c r="V67" s="42">
        <f>IF(M67=1,-Parametros!$B$7-Parametros!$B$22+INDEX($L$18:$L$81,A67-3)+Parametros!$B$15*MIN(O67*(1-Parametros!$B$13),U67*(1+Parametros!$B$27)^(3+Parametros!$B$14))/(1+Parametros!$B$20)^(A67+Parametros!$B$14),0)</f>
        <v/>
      </c>
      <c r="W67" s="44">
        <f>IF(M67=1,((A67-3)/(Parametros!$B$16-3))*EXP(1-(A67-3)/(Parametros!$B$16-3)),0)</f>
        <v/>
      </c>
      <c r="X67" s="44">
        <f>W67+X66</f>
        <v/>
      </c>
      <c r="Y67" s="45">
        <f>W67/$B$9</f>
        <v/>
      </c>
      <c r="Z67" s="42">
        <f>S67*N67/(1+Parametros!$B$20)^A67</f>
        <v/>
      </c>
      <c r="AA67" s="41">
        <f>IF(AND(M67=1,O67*(1-Parametros!$B$13)&gt;=N67),1,0)</f>
        <v/>
      </c>
    </row>
    <row r="68">
      <c r="A68" s="41" t="n">
        <v>50</v>
      </c>
      <c r="B68" s="41">
        <f>IF(A68&lt;=Parametros!$B$10,1,0)</f>
        <v/>
      </c>
      <c r="C68" s="42">
        <f>IF(AND(A68&gt;=1,A68&lt;=Parametros!$B$10),$B$4,0)</f>
        <v/>
      </c>
      <c r="D68" s="42">
        <f>IF(A68&lt;=Parametros!$B$10,Parametros!$B$7*((1+Parametros!$B$8)^Parametros!$B$10-(1+Parametros!$B$8)^A68)/((1+Parametros!$B$8)^Parametros!$B$10-1),0)</f>
        <v/>
      </c>
      <c r="E68" s="42">
        <f>IF(AND(A68&gt;=1,A68&lt;=Parametros!$B$10),Parametros!$B$21/12*D67,0)</f>
        <v/>
      </c>
      <c r="F68" s="42">
        <f>C68-E68</f>
        <v/>
      </c>
      <c r="G68" s="42">
        <f>F68/(1+Parametros!$B$20)^A68+G67</f>
        <v/>
      </c>
      <c r="H68" s="42">
        <f>IF(AND(A68&gt;=1,A68&lt;=Parametros!$B$10),$B$5,0)</f>
        <v/>
      </c>
      <c r="I68" s="42">
        <f>IF(A68&lt;=Parametros!$B$10,Parametros!$B$7*((1+Parametros!$B$27)^Parametros!$B$10-(1+Parametros!$B$27)^A68)/((1+Parametros!$B$27)^Parametros!$B$10-1),0)</f>
        <v/>
      </c>
      <c r="J68" s="42">
        <f>IF(AND(A68&gt;=1,A68&lt;=Parametros!$B$10),Parametros!$B$21/12*I67,0)</f>
        <v/>
      </c>
      <c r="K68" s="42">
        <f>H68-J68</f>
        <v/>
      </c>
      <c r="L68" s="42">
        <f>K68/(1+Parametros!$B$20)^A68+L67</f>
        <v/>
      </c>
      <c r="M68" s="41">
        <f>IF(AND(A68&gt;=4,A68&lt;=Parametros!$B$10+3),1,0)</f>
        <v/>
      </c>
      <c r="N68" s="42">
        <f>IF(M68=1,INDEX($D$18:$D$81,A68-3),0)</f>
        <v/>
      </c>
      <c r="O68" s="42">
        <f>IF(M68=1,Parametros!$B$5*(1-Parametros!$B$12)*(1-Parametros!$B$11)^((A68+Parametros!$B$14)/12),0)</f>
        <v/>
      </c>
      <c r="P68" s="42">
        <f>N68*(1+Parametros!$B$8)^(3+Parametros!$B$14)</f>
        <v/>
      </c>
      <c r="Q68" s="42">
        <f>MIN(O68*(1-Parametros!$B$13),P68)</f>
        <v/>
      </c>
      <c r="R68" s="43">
        <f>IF(M68=1,MAX(0,1-Q68/(1+Parametros!$B$20)^Parametros!$B$14/N68),0)</f>
        <v/>
      </c>
      <c r="S68" s="43">
        <f>IF(M68=1,Parametros!$B$15*R68+(1-Parametros!$B$15),0)</f>
        <v/>
      </c>
      <c r="T68" s="42">
        <f>IF(M68=1,-Parametros!$B$7-Parametros!$B$22+INDEX($G$18:$G$81,A68-3)+Parametros!$B$15*Q68/(1+Parametros!$B$20)^(A68+Parametros!$B$14),0)</f>
        <v/>
      </c>
      <c r="U68" s="42">
        <f>IF(M68=1,INDEX($I$18:$I$81,A68-3),0)</f>
        <v/>
      </c>
      <c r="V68" s="42">
        <f>IF(M68=1,-Parametros!$B$7-Parametros!$B$22+INDEX($L$18:$L$81,A68-3)+Parametros!$B$15*MIN(O68*(1-Parametros!$B$13),U68*(1+Parametros!$B$27)^(3+Parametros!$B$14))/(1+Parametros!$B$20)^(A68+Parametros!$B$14),0)</f>
        <v/>
      </c>
      <c r="W68" s="44">
        <f>IF(M68=1,((A68-3)/(Parametros!$B$16-3))*EXP(1-(A68-3)/(Parametros!$B$16-3)),0)</f>
        <v/>
      </c>
      <c r="X68" s="44">
        <f>W68+X67</f>
        <v/>
      </c>
      <c r="Y68" s="45">
        <f>W68/$B$9</f>
        <v/>
      </c>
      <c r="Z68" s="42">
        <f>S68*N68/(1+Parametros!$B$20)^A68</f>
        <v/>
      </c>
      <c r="AA68" s="41">
        <f>IF(AND(M68=1,O68*(1-Parametros!$B$13)&gt;=N68),1,0)</f>
        <v/>
      </c>
    </row>
    <row r="69">
      <c r="A69" s="41" t="n">
        <v>51</v>
      </c>
      <c r="B69" s="41">
        <f>IF(A69&lt;=Parametros!$B$10,1,0)</f>
        <v/>
      </c>
      <c r="C69" s="42">
        <f>IF(AND(A69&gt;=1,A69&lt;=Parametros!$B$10),$B$4,0)</f>
        <v/>
      </c>
      <c r="D69" s="42">
        <f>IF(A69&lt;=Parametros!$B$10,Parametros!$B$7*((1+Parametros!$B$8)^Parametros!$B$10-(1+Parametros!$B$8)^A69)/((1+Parametros!$B$8)^Parametros!$B$10-1),0)</f>
        <v/>
      </c>
      <c r="E69" s="42">
        <f>IF(AND(A69&gt;=1,A69&lt;=Parametros!$B$10),Parametros!$B$21/12*D68,0)</f>
        <v/>
      </c>
      <c r="F69" s="42">
        <f>C69-E69</f>
        <v/>
      </c>
      <c r="G69" s="42">
        <f>F69/(1+Parametros!$B$20)^A69+G68</f>
        <v/>
      </c>
      <c r="H69" s="42">
        <f>IF(AND(A69&gt;=1,A69&lt;=Parametros!$B$10),$B$5,0)</f>
        <v/>
      </c>
      <c r="I69" s="42">
        <f>IF(A69&lt;=Parametros!$B$10,Parametros!$B$7*((1+Parametros!$B$27)^Parametros!$B$10-(1+Parametros!$B$27)^A69)/((1+Parametros!$B$27)^Parametros!$B$10-1),0)</f>
        <v/>
      </c>
      <c r="J69" s="42">
        <f>IF(AND(A69&gt;=1,A69&lt;=Parametros!$B$10),Parametros!$B$21/12*I68,0)</f>
        <v/>
      </c>
      <c r="K69" s="42">
        <f>H69-J69</f>
        <v/>
      </c>
      <c r="L69" s="42">
        <f>K69/(1+Parametros!$B$20)^A69+L68</f>
        <v/>
      </c>
      <c r="M69" s="41">
        <f>IF(AND(A69&gt;=4,A69&lt;=Parametros!$B$10+3),1,0)</f>
        <v/>
      </c>
      <c r="N69" s="42">
        <f>IF(M69=1,INDEX($D$18:$D$81,A69-3),0)</f>
        <v/>
      </c>
      <c r="O69" s="42">
        <f>IF(M69=1,Parametros!$B$5*(1-Parametros!$B$12)*(1-Parametros!$B$11)^((A69+Parametros!$B$14)/12),0)</f>
        <v/>
      </c>
      <c r="P69" s="42">
        <f>N69*(1+Parametros!$B$8)^(3+Parametros!$B$14)</f>
        <v/>
      </c>
      <c r="Q69" s="42">
        <f>MIN(O69*(1-Parametros!$B$13),P69)</f>
        <v/>
      </c>
      <c r="R69" s="43">
        <f>IF(M69=1,MAX(0,1-Q69/(1+Parametros!$B$20)^Parametros!$B$14/N69),0)</f>
        <v/>
      </c>
      <c r="S69" s="43">
        <f>IF(M69=1,Parametros!$B$15*R69+(1-Parametros!$B$15),0)</f>
        <v/>
      </c>
      <c r="T69" s="42">
        <f>IF(M69=1,-Parametros!$B$7-Parametros!$B$22+INDEX($G$18:$G$81,A69-3)+Parametros!$B$15*Q69/(1+Parametros!$B$20)^(A69+Parametros!$B$14),0)</f>
        <v/>
      </c>
      <c r="U69" s="42">
        <f>IF(M69=1,INDEX($I$18:$I$81,A69-3),0)</f>
        <v/>
      </c>
      <c r="V69" s="42">
        <f>IF(M69=1,-Parametros!$B$7-Parametros!$B$22+INDEX($L$18:$L$81,A69-3)+Parametros!$B$15*MIN(O69*(1-Parametros!$B$13),U69*(1+Parametros!$B$27)^(3+Parametros!$B$14))/(1+Parametros!$B$20)^(A69+Parametros!$B$14),0)</f>
        <v/>
      </c>
      <c r="W69" s="44">
        <f>IF(M69=1,((A69-3)/(Parametros!$B$16-3))*EXP(1-(A69-3)/(Parametros!$B$16-3)),0)</f>
        <v/>
      </c>
      <c r="X69" s="44">
        <f>W69+X68</f>
        <v/>
      </c>
      <c r="Y69" s="45">
        <f>W69/$B$9</f>
        <v/>
      </c>
      <c r="Z69" s="42">
        <f>S69*N69/(1+Parametros!$B$20)^A69</f>
        <v/>
      </c>
      <c r="AA69" s="41">
        <f>IF(AND(M69=1,O69*(1-Parametros!$B$13)&gt;=N69),1,0)</f>
        <v/>
      </c>
    </row>
    <row r="70">
      <c r="A70" s="41" t="n">
        <v>52</v>
      </c>
      <c r="B70" s="41">
        <f>IF(A70&lt;=Parametros!$B$10,1,0)</f>
        <v/>
      </c>
      <c r="C70" s="42">
        <f>IF(AND(A70&gt;=1,A70&lt;=Parametros!$B$10),$B$4,0)</f>
        <v/>
      </c>
      <c r="D70" s="42">
        <f>IF(A70&lt;=Parametros!$B$10,Parametros!$B$7*((1+Parametros!$B$8)^Parametros!$B$10-(1+Parametros!$B$8)^A70)/((1+Parametros!$B$8)^Parametros!$B$10-1),0)</f>
        <v/>
      </c>
      <c r="E70" s="42">
        <f>IF(AND(A70&gt;=1,A70&lt;=Parametros!$B$10),Parametros!$B$21/12*D69,0)</f>
        <v/>
      </c>
      <c r="F70" s="42">
        <f>C70-E70</f>
        <v/>
      </c>
      <c r="G70" s="42">
        <f>F70/(1+Parametros!$B$20)^A70+G69</f>
        <v/>
      </c>
      <c r="H70" s="42">
        <f>IF(AND(A70&gt;=1,A70&lt;=Parametros!$B$10),$B$5,0)</f>
        <v/>
      </c>
      <c r="I70" s="42">
        <f>IF(A70&lt;=Parametros!$B$10,Parametros!$B$7*((1+Parametros!$B$27)^Parametros!$B$10-(1+Parametros!$B$27)^A70)/((1+Parametros!$B$27)^Parametros!$B$10-1),0)</f>
        <v/>
      </c>
      <c r="J70" s="42">
        <f>IF(AND(A70&gt;=1,A70&lt;=Parametros!$B$10),Parametros!$B$21/12*I69,0)</f>
        <v/>
      </c>
      <c r="K70" s="42">
        <f>H70-J70</f>
        <v/>
      </c>
      <c r="L70" s="42">
        <f>K70/(1+Parametros!$B$20)^A70+L69</f>
        <v/>
      </c>
      <c r="M70" s="41">
        <f>IF(AND(A70&gt;=4,A70&lt;=Parametros!$B$10+3),1,0)</f>
        <v/>
      </c>
      <c r="N70" s="42">
        <f>IF(M70=1,INDEX($D$18:$D$81,A70-3),0)</f>
        <v/>
      </c>
      <c r="O70" s="42">
        <f>IF(M70=1,Parametros!$B$5*(1-Parametros!$B$12)*(1-Parametros!$B$11)^((A70+Parametros!$B$14)/12),0)</f>
        <v/>
      </c>
      <c r="P70" s="42">
        <f>N70*(1+Parametros!$B$8)^(3+Parametros!$B$14)</f>
        <v/>
      </c>
      <c r="Q70" s="42">
        <f>MIN(O70*(1-Parametros!$B$13),P70)</f>
        <v/>
      </c>
      <c r="R70" s="43">
        <f>IF(M70=1,MAX(0,1-Q70/(1+Parametros!$B$20)^Parametros!$B$14/N70),0)</f>
        <v/>
      </c>
      <c r="S70" s="43">
        <f>IF(M70=1,Parametros!$B$15*R70+(1-Parametros!$B$15),0)</f>
        <v/>
      </c>
      <c r="T70" s="42">
        <f>IF(M70=1,-Parametros!$B$7-Parametros!$B$22+INDEX($G$18:$G$81,A70-3)+Parametros!$B$15*Q70/(1+Parametros!$B$20)^(A70+Parametros!$B$14),0)</f>
        <v/>
      </c>
      <c r="U70" s="42">
        <f>IF(M70=1,INDEX($I$18:$I$81,A70-3),0)</f>
        <v/>
      </c>
      <c r="V70" s="42">
        <f>IF(M70=1,-Parametros!$B$7-Parametros!$B$22+INDEX($L$18:$L$81,A70-3)+Parametros!$B$15*MIN(O70*(1-Parametros!$B$13),U70*(1+Parametros!$B$27)^(3+Parametros!$B$14))/(1+Parametros!$B$20)^(A70+Parametros!$B$14),0)</f>
        <v/>
      </c>
      <c r="W70" s="44">
        <f>IF(M70=1,((A70-3)/(Parametros!$B$16-3))*EXP(1-(A70-3)/(Parametros!$B$16-3)),0)</f>
        <v/>
      </c>
      <c r="X70" s="44">
        <f>W70+X69</f>
        <v/>
      </c>
      <c r="Y70" s="45">
        <f>W70/$B$9</f>
        <v/>
      </c>
      <c r="Z70" s="42">
        <f>S70*N70/(1+Parametros!$B$20)^A70</f>
        <v/>
      </c>
      <c r="AA70" s="41">
        <f>IF(AND(M70=1,O70*(1-Parametros!$B$13)&gt;=N70),1,0)</f>
        <v/>
      </c>
    </row>
    <row r="71">
      <c r="A71" s="41" t="n">
        <v>53</v>
      </c>
      <c r="B71" s="41">
        <f>IF(A71&lt;=Parametros!$B$10,1,0)</f>
        <v/>
      </c>
      <c r="C71" s="42">
        <f>IF(AND(A71&gt;=1,A71&lt;=Parametros!$B$10),$B$4,0)</f>
        <v/>
      </c>
      <c r="D71" s="42">
        <f>IF(A71&lt;=Parametros!$B$10,Parametros!$B$7*((1+Parametros!$B$8)^Parametros!$B$10-(1+Parametros!$B$8)^A71)/((1+Parametros!$B$8)^Parametros!$B$10-1),0)</f>
        <v/>
      </c>
      <c r="E71" s="42">
        <f>IF(AND(A71&gt;=1,A71&lt;=Parametros!$B$10),Parametros!$B$21/12*D70,0)</f>
        <v/>
      </c>
      <c r="F71" s="42">
        <f>C71-E71</f>
        <v/>
      </c>
      <c r="G71" s="42">
        <f>F71/(1+Parametros!$B$20)^A71+G70</f>
        <v/>
      </c>
      <c r="H71" s="42">
        <f>IF(AND(A71&gt;=1,A71&lt;=Parametros!$B$10),$B$5,0)</f>
        <v/>
      </c>
      <c r="I71" s="42">
        <f>IF(A71&lt;=Parametros!$B$10,Parametros!$B$7*((1+Parametros!$B$27)^Parametros!$B$10-(1+Parametros!$B$27)^A71)/((1+Parametros!$B$27)^Parametros!$B$10-1),0)</f>
        <v/>
      </c>
      <c r="J71" s="42">
        <f>IF(AND(A71&gt;=1,A71&lt;=Parametros!$B$10),Parametros!$B$21/12*I70,0)</f>
        <v/>
      </c>
      <c r="K71" s="42">
        <f>H71-J71</f>
        <v/>
      </c>
      <c r="L71" s="42">
        <f>K71/(1+Parametros!$B$20)^A71+L70</f>
        <v/>
      </c>
      <c r="M71" s="41">
        <f>IF(AND(A71&gt;=4,A71&lt;=Parametros!$B$10+3),1,0)</f>
        <v/>
      </c>
      <c r="N71" s="42">
        <f>IF(M71=1,INDEX($D$18:$D$81,A71-3),0)</f>
        <v/>
      </c>
      <c r="O71" s="42">
        <f>IF(M71=1,Parametros!$B$5*(1-Parametros!$B$12)*(1-Parametros!$B$11)^((A71+Parametros!$B$14)/12),0)</f>
        <v/>
      </c>
      <c r="P71" s="42">
        <f>N71*(1+Parametros!$B$8)^(3+Parametros!$B$14)</f>
        <v/>
      </c>
      <c r="Q71" s="42">
        <f>MIN(O71*(1-Parametros!$B$13),P71)</f>
        <v/>
      </c>
      <c r="R71" s="43">
        <f>IF(M71=1,MAX(0,1-Q71/(1+Parametros!$B$20)^Parametros!$B$14/N71),0)</f>
        <v/>
      </c>
      <c r="S71" s="43">
        <f>IF(M71=1,Parametros!$B$15*R71+(1-Parametros!$B$15),0)</f>
        <v/>
      </c>
      <c r="T71" s="42">
        <f>IF(M71=1,-Parametros!$B$7-Parametros!$B$22+INDEX($G$18:$G$81,A71-3)+Parametros!$B$15*Q71/(1+Parametros!$B$20)^(A71+Parametros!$B$14),0)</f>
        <v/>
      </c>
      <c r="U71" s="42">
        <f>IF(M71=1,INDEX($I$18:$I$81,A71-3),0)</f>
        <v/>
      </c>
      <c r="V71" s="42">
        <f>IF(M71=1,-Parametros!$B$7-Parametros!$B$22+INDEX($L$18:$L$81,A71-3)+Parametros!$B$15*MIN(O71*(1-Parametros!$B$13),U71*(1+Parametros!$B$27)^(3+Parametros!$B$14))/(1+Parametros!$B$20)^(A71+Parametros!$B$14),0)</f>
        <v/>
      </c>
      <c r="W71" s="44">
        <f>IF(M71=1,((A71-3)/(Parametros!$B$16-3))*EXP(1-(A71-3)/(Parametros!$B$16-3)),0)</f>
        <v/>
      </c>
      <c r="X71" s="44">
        <f>W71+X70</f>
        <v/>
      </c>
      <c r="Y71" s="45">
        <f>W71/$B$9</f>
        <v/>
      </c>
      <c r="Z71" s="42">
        <f>S71*N71/(1+Parametros!$B$20)^A71</f>
        <v/>
      </c>
      <c r="AA71" s="41">
        <f>IF(AND(M71=1,O71*(1-Parametros!$B$13)&gt;=N71),1,0)</f>
        <v/>
      </c>
    </row>
    <row r="72">
      <c r="A72" s="41" t="n">
        <v>54</v>
      </c>
      <c r="B72" s="41">
        <f>IF(A72&lt;=Parametros!$B$10,1,0)</f>
        <v/>
      </c>
      <c r="C72" s="42">
        <f>IF(AND(A72&gt;=1,A72&lt;=Parametros!$B$10),$B$4,0)</f>
        <v/>
      </c>
      <c r="D72" s="42">
        <f>IF(A72&lt;=Parametros!$B$10,Parametros!$B$7*((1+Parametros!$B$8)^Parametros!$B$10-(1+Parametros!$B$8)^A72)/((1+Parametros!$B$8)^Parametros!$B$10-1),0)</f>
        <v/>
      </c>
      <c r="E72" s="42">
        <f>IF(AND(A72&gt;=1,A72&lt;=Parametros!$B$10),Parametros!$B$21/12*D71,0)</f>
        <v/>
      </c>
      <c r="F72" s="42">
        <f>C72-E72</f>
        <v/>
      </c>
      <c r="G72" s="42">
        <f>F72/(1+Parametros!$B$20)^A72+G71</f>
        <v/>
      </c>
      <c r="H72" s="42">
        <f>IF(AND(A72&gt;=1,A72&lt;=Parametros!$B$10),$B$5,0)</f>
        <v/>
      </c>
      <c r="I72" s="42">
        <f>IF(A72&lt;=Parametros!$B$10,Parametros!$B$7*((1+Parametros!$B$27)^Parametros!$B$10-(1+Parametros!$B$27)^A72)/((1+Parametros!$B$27)^Parametros!$B$10-1),0)</f>
        <v/>
      </c>
      <c r="J72" s="42">
        <f>IF(AND(A72&gt;=1,A72&lt;=Parametros!$B$10),Parametros!$B$21/12*I71,0)</f>
        <v/>
      </c>
      <c r="K72" s="42">
        <f>H72-J72</f>
        <v/>
      </c>
      <c r="L72" s="42">
        <f>K72/(1+Parametros!$B$20)^A72+L71</f>
        <v/>
      </c>
      <c r="M72" s="41">
        <f>IF(AND(A72&gt;=4,A72&lt;=Parametros!$B$10+3),1,0)</f>
        <v/>
      </c>
      <c r="N72" s="42">
        <f>IF(M72=1,INDEX($D$18:$D$81,A72-3),0)</f>
        <v/>
      </c>
      <c r="O72" s="42">
        <f>IF(M72=1,Parametros!$B$5*(1-Parametros!$B$12)*(1-Parametros!$B$11)^((A72+Parametros!$B$14)/12),0)</f>
        <v/>
      </c>
      <c r="P72" s="42">
        <f>N72*(1+Parametros!$B$8)^(3+Parametros!$B$14)</f>
        <v/>
      </c>
      <c r="Q72" s="42">
        <f>MIN(O72*(1-Parametros!$B$13),P72)</f>
        <v/>
      </c>
      <c r="R72" s="43">
        <f>IF(M72=1,MAX(0,1-Q72/(1+Parametros!$B$20)^Parametros!$B$14/N72),0)</f>
        <v/>
      </c>
      <c r="S72" s="43">
        <f>IF(M72=1,Parametros!$B$15*R72+(1-Parametros!$B$15),0)</f>
        <v/>
      </c>
      <c r="T72" s="42">
        <f>IF(M72=1,-Parametros!$B$7-Parametros!$B$22+INDEX($G$18:$G$81,A72-3)+Parametros!$B$15*Q72/(1+Parametros!$B$20)^(A72+Parametros!$B$14),0)</f>
        <v/>
      </c>
      <c r="U72" s="42">
        <f>IF(M72=1,INDEX($I$18:$I$81,A72-3),0)</f>
        <v/>
      </c>
      <c r="V72" s="42">
        <f>IF(M72=1,-Parametros!$B$7-Parametros!$B$22+INDEX($L$18:$L$81,A72-3)+Parametros!$B$15*MIN(O72*(1-Parametros!$B$13),U72*(1+Parametros!$B$27)^(3+Parametros!$B$14))/(1+Parametros!$B$20)^(A72+Parametros!$B$14),0)</f>
        <v/>
      </c>
      <c r="W72" s="44">
        <f>IF(M72=1,((A72-3)/(Parametros!$B$16-3))*EXP(1-(A72-3)/(Parametros!$B$16-3)),0)</f>
        <v/>
      </c>
      <c r="X72" s="44">
        <f>W72+X71</f>
        <v/>
      </c>
      <c r="Y72" s="45">
        <f>W72/$B$9</f>
        <v/>
      </c>
      <c r="Z72" s="42">
        <f>S72*N72/(1+Parametros!$B$20)^A72</f>
        <v/>
      </c>
      <c r="AA72" s="41">
        <f>IF(AND(M72=1,O72*(1-Parametros!$B$13)&gt;=N72),1,0)</f>
        <v/>
      </c>
    </row>
    <row r="73">
      <c r="A73" s="41" t="n">
        <v>55</v>
      </c>
      <c r="B73" s="41">
        <f>IF(A73&lt;=Parametros!$B$10,1,0)</f>
        <v/>
      </c>
      <c r="C73" s="42">
        <f>IF(AND(A73&gt;=1,A73&lt;=Parametros!$B$10),$B$4,0)</f>
        <v/>
      </c>
      <c r="D73" s="42">
        <f>IF(A73&lt;=Parametros!$B$10,Parametros!$B$7*((1+Parametros!$B$8)^Parametros!$B$10-(1+Parametros!$B$8)^A73)/((1+Parametros!$B$8)^Parametros!$B$10-1),0)</f>
        <v/>
      </c>
      <c r="E73" s="42">
        <f>IF(AND(A73&gt;=1,A73&lt;=Parametros!$B$10),Parametros!$B$21/12*D72,0)</f>
        <v/>
      </c>
      <c r="F73" s="42">
        <f>C73-E73</f>
        <v/>
      </c>
      <c r="G73" s="42">
        <f>F73/(1+Parametros!$B$20)^A73+G72</f>
        <v/>
      </c>
      <c r="H73" s="42">
        <f>IF(AND(A73&gt;=1,A73&lt;=Parametros!$B$10),$B$5,0)</f>
        <v/>
      </c>
      <c r="I73" s="42">
        <f>IF(A73&lt;=Parametros!$B$10,Parametros!$B$7*((1+Parametros!$B$27)^Parametros!$B$10-(1+Parametros!$B$27)^A73)/((1+Parametros!$B$27)^Parametros!$B$10-1),0)</f>
        <v/>
      </c>
      <c r="J73" s="42">
        <f>IF(AND(A73&gt;=1,A73&lt;=Parametros!$B$10),Parametros!$B$21/12*I72,0)</f>
        <v/>
      </c>
      <c r="K73" s="42">
        <f>H73-J73</f>
        <v/>
      </c>
      <c r="L73" s="42">
        <f>K73/(1+Parametros!$B$20)^A73+L72</f>
        <v/>
      </c>
      <c r="M73" s="41">
        <f>IF(AND(A73&gt;=4,A73&lt;=Parametros!$B$10+3),1,0)</f>
        <v/>
      </c>
      <c r="N73" s="42">
        <f>IF(M73=1,INDEX($D$18:$D$81,A73-3),0)</f>
        <v/>
      </c>
      <c r="O73" s="42">
        <f>IF(M73=1,Parametros!$B$5*(1-Parametros!$B$12)*(1-Parametros!$B$11)^((A73+Parametros!$B$14)/12),0)</f>
        <v/>
      </c>
      <c r="P73" s="42">
        <f>N73*(1+Parametros!$B$8)^(3+Parametros!$B$14)</f>
        <v/>
      </c>
      <c r="Q73" s="42">
        <f>MIN(O73*(1-Parametros!$B$13),P73)</f>
        <v/>
      </c>
      <c r="R73" s="43">
        <f>IF(M73=1,MAX(0,1-Q73/(1+Parametros!$B$20)^Parametros!$B$14/N73),0)</f>
        <v/>
      </c>
      <c r="S73" s="43">
        <f>IF(M73=1,Parametros!$B$15*R73+(1-Parametros!$B$15),0)</f>
        <v/>
      </c>
      <c r="T73" s="42">
        <f>IF(M73=1,-Parametros!$B$7-Parametros!$B$22+INDEX($G$18:$G$81,A73-3)+Parametros!$B$15*Q73/(1+Parametros!$B$20)^(A73+Parametros!$B$14),0)</f>
        <v/>
      </c>
      <c r="U73" s="42">
        <f>IF(M73=1,INDEX($I$18:$I$81,A73-3),0)</f>
        <v/>
      </c>
      <c r="V73" s="42">
        <f>IF(M73=1,-Parametros!$B$7-Parametros!$B$22+INDEX($L$18:$L$81,A73-3)+Parametros!$B$15*MIN(O73*(1-Parametros!$B$13),U73*(1+Parametros!$B$27)^(3+Parametros!$B$14))/(1+Parametros!$B$20)^(A73+Parametros!$B$14),0)</f>
        <v/>
      </c>
      <c r="W73" s="44">
        <f>IF(M73=1,((A73-3)/(Parametros!$B$16-3))*EXP(1-(A73-3)/(Parametros!$B$16-3)),0)</f>
        <v/>
      </c>
      <c r="X73" s="44">
        <f>W73+X72</f>
        <v/>
      </c>
      <c r="Y73" s="45">
        <f>W73/$B$9</f>
        <v/>
      </c>
      <c r="Z73" s="42">
        <f>S73*N73/(1+Parametros!$B$20)^A73</f>
        <v/>
      </c>
      <c r="AA73" s="41">
        <f>IF(AND(M73=1,O73*(1-Parametros!$B$13)&gt;=N73),1,0)</f>
        <v/>
      </c>
    </row>
    <row r="74">
      <c r="A74" s="41" t="n">
        <v>56</v>
      </c>
      <c r="B74" s="41">
        <f>IF(A74&lt;=Parametros!$B$10,1,0)</f>
        <v/>
      </c>
      <c r="C74" s="42">
        <f>IF(AND(A74&gt;=1,A74&lt;=Parametros!$B$10),$B$4,0)</f>
        <v/>
      </c>
      <c r="D74" s="42">
        <f>IF(A74&lt;=Parametros!$B$10,Parametros!$B$7*((1+Parametros!$B$8)^Parametros!$B$10-(1+Parametros!$B$8)^A74)/((1+Parametros!$B$8)^Parametros!$B$10-1),0)</f>
        <v/>
      </c>
      <c r="E74" s="42">
        <f>IF(AND(A74&gt;=1,A74&lt;=Parametros!$B$10),Parametros!$B$21/12*D73,0)</f>
        <v/>
      </c>
      <c r="F74" s="42">
        <f>C74-E74</f>
        <v/>
      </c>
      <c r="G74" s="42">
        <f>F74/(1+Parametros!$B$20)^A74+G73</f>
        <v/>
      </c>
      <c r="H74" s="42">
        <f>IF(AND(A74&gt;=1,A74&lt;=Parametros!$B$10),$B$5,0)</f>
        <v/>
      </c>
      <c r="I74" s="42">
        <f>IF(A74&lt;=Parametros!$B$10,Parametros!$B$7*((1+Parametros!$B$27)^Parametros!$B$10-(1+Parametros!$B$27)^A74)/((1+Parametros!$B$27)^Parametros!$B$10-1),0)</f>
        <v/>
      </c>
      <c r="J74" s="42">
        <f>IF(AND(A74&gt;=1,A74&lt;=Parametros!$B$10),Parametros!$B$21/12*I73,0)</f>
        <v/>
      </c>
      <c r="K74" s="42">
        <f>H74-J74</f>
        <v/>
      </c>
      <c r="L74" s="42">
        <f>K74/(1+Parametros!$B$20)^A74+L73</f>
        <v/>
      </c>
      <c r="M74" s="41">
        <f>IF(AND(A74&gt;=4,A74&lt;=Parametros!$B$10+3),1,0)</f>
        <v/>
      </c>
      <c r="N74" s="42">
        <f>IF(M74=1,INDEX($D$18:$D$81,A74-3),0)</f>
        <v/>
      </c>
      <c r="O74" s="42">
        <f>IF(M74=1,Parametros!$B$5*(1-Parametros!$B$12)*(1-Parametros!$B$11)^((A74+Parametros!$B$14)/12),0)</f>
        <v/>
      </c>
      <c r="P74" s="42">
        <f>N74*(1+Parametros!$B$8)^(3+Parametros!$B$14)</f>
        <v/>
      </c>
      <c r="Q74" s="42">
        <f>MIN(O74*(1-Parametros!$B$13),P74)</f>
        <v/>
      </c>
      <c r="R74" s="43">
        <f>IF(M74=1,MAX(0,1-Q74/(1+Parametros!$B$20)^Parametros!$B$14/N74),0)</f>
        <v/>
      </c>
      <c r="S74" s="43">
        <f>IF(M74=1,Parametros!$B$15*R74+(1-Parametros!$B$15),0)</f>
        <v/>
      </c>
      <c r="T74" s="42">
        <f>IF(M74=1,-Parametros!$B$7-Parametros!$B$22+INDEX($G$18:$G$81,A74-3)+Parametros!$B$15*Q74/(1+Parametros!$B$20)^(A74+Parametros!$B$14),0)</f>
        <v/>
      </c>
      <c r="U74" s="42">
        <f>IF(M74=1,INDEX($I$18:$I$81,A74-3),0)</f>
        <v/>
      </c>
      <c r="V74" s="42">
        <f>IF(M74=1,-Parametros!$B$7-Parametros!$B$22+INDEX($L$18:$L$81,A74-3)+Parametros!$B$15*MIN(O74*(1-Parametros!$B$13),U74*(1+Parametros!$B$27)^(3+Parametros!$B$14))/(1+Parametros!$B$20)^(A74+Parametros!$B$14),0)</f>
        <v/>
      </c>
      <c r="W74" s="44">
        <f>IF(M74=1,((A74-3)/(Parametros!$B$16-3))*EXP(1-(A74-3)/(Parametros!$B$16-3)),0)</f>
        <v/>
      </c>
      <c r="X74" s="44">
        <f>W74+X73</f>
        <v/>
      </c>
      <c r="Y74" s="45">
        <f>W74/$B$9</f>
        <v/>
      </c>
      <c r="Z74" s="42">
        <f>S74*N74/(1+Parametros!$B$20)^A74</f>
        <v/>
      </c>
      <c r="AA74" s="41">
        <f>IF(AND(M74=1,O74*(1-Parametros!$B$13)&gt;=N74),1,0)</f>
        <v/>
      </c>
    </row>
    <row r="75">
      <c r="A75" s="41" t="n">
        <v>57</v>
      </c>
      <c r="B75" s="41">
        <f>IF(A75&lt;=Parametros!$B$10,1,0)</f>
        <v/>
      </c>
      <c r="C75" s="42">
        <f>IF(AND(A75&gt;=1,A75&lt;=Parametros!$B$10),$B$4,0)</f>
        <v/>
      </c>
      <c r="D75" s="42">
        <f>IF(A75&lt;=Parametros!$B$10,Parametros!$B$7*((1+Parametros!$B$8)^Parametros!$B$10-(1+Parametros!$B$8)^A75)/((1+Parametros!$B$8)^Parametros!$B$10-1),0)</f>
        <v/>
      </c>
      <c r="E75" s="42">
        <f>IF(AND(A75&gt;=1,A75&lt;=Parametros!$B$10),Parametros!$B$21/12*D74,0)</f>
        <v/>
      </c>
      <c r="F75" s="42">
        <f>C75-E75</f>
        <v/>
      </c>
      <c r="G75" s="42">
        <f>F75/(1+Parametros!$B$20)^A75+G74</f>
        <v/>
      </c>
      <c r="H75" s="42">
        <f>IF(AND(A75&gt;=1,A75&lt;=Parametros!$B$10),$B$5,0)</f>
        <v/>
      </c>
      <c r="I75" s="42">
        <f>IF(A75&lt;=Parametros!$B$10,Parametros!$B$7*((1+Parametros!$B$27)^Parametros!$B$10-(1+Parametros!$B$27)^A75)/((1+Parametros!$B$27)^Parametros!$B$10-1),0)</f>
        <v/>
      </c>
      <c r="J75" s="42">
        <f>IF(AND(A75&gt;=1,A75&lt;=Parametros!$B$10),Parametros!$B$21/12*I74,0)</f>
        <v/>
      </c>
      <c r="K75" s="42">
        <f>H75-J75</f>
        <v/>
      </c>
      <c r="L75" s="42">
        <f>K75/(1+Parametros!$B$20)^A75+L74</f>
        <v/>
      </c>
      <c r="M75" s="41">
        <f>IF(AND(A75&gt;=4,A75&lt;=Parametros!$B$10+3),1,0)</f>
        <v/>
      </c>
      <c r="N75" s="42">
        <f>IF(M75=1,INDEX($D$18:$D$81,A75-3),0)</f>
        <v/>
      </c>
      <c r="O75" s="42">
        <f>IF(M75=1,Parametros!$B$5*(1-Parametros!$B$12)*(1-Parametros!$B$11)^((A75+Parametros!$B$14)/12),0)</f>
        <v/>
      </c>
      <c r="P75" s="42">
        <f>N75*(1+Parametros!$B$8)^(3+Parametros!$B$14)</f>
        <v/>
      </c>
      <c r="Q75" s="42">
        <f>MIN(O75*(1-Parametros!$B$13),P75)</f>
        <v/>
      </c>
      <c r="R75" s="43">
        <f>IF(M75=1,MAX(0,1-Q75/(1+Parametros!$B$20)^Parametros!$B$14/N75),0)</f>
        <v/>
      </c>
      <c r="S75" s="43">
        <f>IF(M75=1,Parametros!$B$15*R75+(1-Parametros!$B$15),0)</f>
        <v/>
      </c>
      <c r="T75" s="42">
        <f>IF(M75=1,-Parametros!$B$7-Parametros!$B$22+INDEX($G$18:$G$81,A75-3)+Parametros!$B$15*Q75/(1+Parametros!$B$20)^(A75+Parametros!$B$14),0)</f>
        <v/>
      </c>
      <c r="U75" s="42">
        <f>IF(M75=1,INDEX($I$18:$I$81,A75-3),0)</f>
        <v/>
      </c>
      <c r="V75" s="42">
        <f>IF(M75=1,-Parametros!$B$7-Parametros!$B$22+INDEX($L$18:$L$81,A75-3)+Parametros!$B$15*MIN(O75*(1-Parametros!$B$13),U75*(1+Parametros!$B$27)^(3+Parametros!$B$14))/(1+Parametros!$B$20)^(A75+Parametros!$B$14),0)</f>
        <v/>
      </c>
      <c r="W75" s="44">
        <f>IF(M75=1,((A75-3)/(Parametros!$B$16-3))*EXP(1-(A75-3)/(Parametros!$B$16-3)),0)</f>
        <v/>
      </c>
      <c r="X75" s="44">
        <f>W75+X74</f>
        <v/>
      </c>
      <c r="Y75" s="45">
        <f>W75/$B$9</f>
        <v/>
      </c>
      <c r="Z75" s="42">
        <f>S75*N75/(1+Parametros!$B$20)^A75</f>
        <v/>
      </c>
      <c r="AA75" s="41">
        <f>IF(AND(M75=1,O75*(1-Parametros!$B$13)&gt;=N75),1,0)</f>
        <v/>
      </c>
    </row>
    <row r="76">
      <c r="A76" s="41" t="n">
        <v>58</v>
      </c>
      <c r="B76" s="41">
        <f>IF(A76&lt;=Parametros!$B$10,1,0)</f>
        <v/>
      </c>
      <c r="C76" s="42">
        <f>IF(AND(A76&gt;=1,A76&lt;=Parametros!$B$10),$B$4,0)</f>
        <v/>
      </c>
      <c r="D76" s="42">
        <f>IF(A76&lt;=Parametros!$B$10,Parametros!$B$7*((1+Parametros!$B$8)^Parametros!$B$10-(1+Parametros!$B$8)^A76)/((1+Parametros!$B$8)^Parametros!$B$10-1),0)</f>
        <v/>
      </c>
      <c r="E76" s="42">
        <f>IF(AND(A76&gt;=1,A76&lt;=Parametros!$B$10),Parametros!$B$21/12*D75,0)</f>
        <v/>
      </c>
      <c r="F76" s="42">
        <f>C76-E76</f>
        <v/>
      </c>
      <c r="G76" s="42">
        <f>F76/(1+Parametros!$B$20)^A76+G75</f>
        <v/>
      </c>
      <c r="H76" s="42">
        <f>IF(AND(A76&gt;=1,A76&lt;=Parametros!$B$10),$B$5,0)</f>
        <v/>
      </c>
      <c r="I76" s="42">
        <f>IF(A76&lt;=Parametros!$B$10,Parametros!$B$7*((1+Parametros!$B$27)^Parametros!$B$10-(1+Parametros!$B$27)^A76)/((1+Parametros!$B$27)^Parametros!$B$10-1),0)</f>
        <v/>
      </c>
      <c r="J76" s="42">
        <f>IF(AND(A76&gt;=1,A76&lt;=Parametros!$B$10),Parametros!$B$21/12*I75,0)</f>
        <v/>
      </c>
      <c r="K76" s="42">
        <f>H76-J76</f>
        <v/>
      </c>
      <c r="L76" s="42">
        <f>K76/(1+Parametros!$B$20)^A76+L75</f>
        <v/>
      </c>
      <c r="M76" s="41">
        <f>IF(AND(A76&gt;=4,A76&lt;=Parametros!$B$10+3),1,0)</f>
        <v/>
      </c>
      <c r="N76" s="42">
        <f>IF(M76=1,INDEX($D$18:$D$81,A76-3),0)</f>
        <v/>
      </c>
      <c r="O76" s="42">
        <f>IF(M76=1,Parametros!$B$5*(1-Parametros!$B$12)*(1-Parametros!$B$11)^((A76+Parametros!$B$14)/12),0)</f>
        <v/>
      </c>
      <c r="P76" s="42">
        <f>N76*(1+Parametros!$B$8)^(3+Parametros!$B$14)</f>
        <v/>
      </c>
      <c r="Q76" s="42">
        <f>MIN(O76*(1-Parametros!$B$13),P76)</f>
        <v/>
      </c>
      <c r="R76" s="43">
        <f>IF(M76=1,MAX(0,1-Q76/(1+Parametros!$B$20)^Parametros!$B$14/N76),0)</f>
        <v/>
      </c>
      <c r="S76" s="43">
        <f>IF(M76=1,Parametros!$B$15*R76+(1-Parametros!$B$15),0)</f>
        <v/>
      </c>
      <c r="T76" s="42">
        <f>IF(M76=1,-Parametros!$B$7-Parametros!$B$22+INDEX($G$18:$G$81,A76-3)+Parametros!$B$15*Q76/(1+Parametros!$B$20)^(A76+Parametros!$B$14),0)</f>
        <v/>
      </c>
      <c r="U76" s="42">
        <f>IF(M76=1,INDEX($I$18:$I$81,A76-3),0)</f>
        <v/>
      </c>
      <c r="V76" s="42">
        <f>IF(M76=1,-Parametros!$B$7-Parametros!$B$22+INDEX($L$18:$L$81,A76-3)+Parametros!$B$15*MIN(O76*(1-Parametros!$B$13),U76*(1+Parametros!$B$27)^(3+Parametros!$B$14))/(1+Parametros!$B$20)^(A76+Parametros!$B$14),0)</f>
        <v/>
      </c>
      <c r="W76" s="44">
        <f>IF(M76=1,((A76-3)/(Parametros!$B$16-3))*EXP(1-(A76-3)/(Parametros!$B$16-3)),0)</f>
        <v/>
      </c>
      <c r="X76" s="44">
        <f>W76+X75</f>
        <v/>
      </c>
      <c r="Y76" s="45">
        <f>W76/$B$9</f>
        <v/>
      </c>
      <c r="Z76" s="42">
        <f>S76*N76/(1+Parametros!$B$20)^A76</f>
        <v/>
      </c>
      <c r="AA76" s="41">
        <f>IF(AND(M76=1,O76*(1-Parametros!$B$13)&gt;=N76),1,0)</f>
        <v/>
      </c>
    </row>
    <row r="77">
      <c r="A77" s="41" t="n">
        <v>59</v>
      </c>
      <c r="B77" s="41">
        <f>IF(A77&lt;=Parametros!$B$10,1,0)</f>
        <v/>
      </c>
      <c r="C77" s="42">
        <f>IF(AND(A77&gt;=1,A77&lt;=Parametros!$B$10),$B$4,0)</f>
        <v/>
      </c>
      <c r="D77" s="42">
        <f>IF(A77&lt;=Parametros!$B$10,Parametros!$B$7*((1+Parametros!$B$8)^Parametros!$B$10-(1+Parametros!$B$8)^A77)/((1+Parametros!$B$8)^Parametros!$B$10-1),0)</f>
        <v/>
      </c>
      <c r="E77" s="42">
        <f>IF(AND(A77&gt;=1,A77&lt;=Parametros!$B$10),Parametros!$B$21/12*D76,0)</f>
        <v/>
      </c>
      <c r="F77" s="42">
        <f>C77-E77</f>
        <v/>
      </c>
      <c r="G77" s="42">
        <f>F77/(1+Parametros!$B$20)^A77+G76</f>
        <v/>
      </c>
      <c r="H77" s="42">
        <f>IF(AND(A77&gt;=1,A77&lt;=Parametros!$B$10),$B$5,0)</f>
        <v/>
      </c>
      <c r="I77" s="42">
        <f>IF(A77&lt;=Parametros!$B$10,Parametros!$B$7*((1+Parametros!$B$27)^Parametros!$B$10-(1+Parametros!$B$27)^A77)/((1+Parametros!$B$27)^Parametros!$B$10-1),0)</f>
        <v/>
      </c>
      <c r="J77" s="42">
        <f>IF(AND(A77&gt;=1,A77&lt;=Parametros!$B$10),Parametros!$B$21/12*I76,0)</f>
        <v/>
      </c>
      <c r="K77" s="42">
        <f>H77-J77</f>
        <v/>
      </c>
      <c r="L77" s="42">
        <f>K77/(1+Parametros!$B$20)^A77+L76</f>
        <v/>
      </c>
      <c r="M77" s="41">
        <f>IF(AND(A77&gt;=4,A77&lt;=Parametros!$B$10+3),1,0)</f>
        <v/>
      </c>
      <c r="N77" s="42">
        <f>IF(M77=1,INDEX($D$18:$D$81,A77-3),0)</f>
        <v/>
      </c>
      <c r="O77" s="42">
        <f>IF(M77=1,Parametros!$B$5*(1-Parametros!$B$12)*(1-Parametros!$B$11)^((A77+Parametros!$B$14)/12),0)</f>
        <v/>
      </c>
      <c r="P77" s="42">
        <f>N77*(1+Parametros!$B$8)^(3+Parametros!$B$14)</f>
        <v/>
      </c>
      <c r="Q77" s="42">
        <f>MIN(O77*(1-Parametros!$B$13),P77)</f>
        <v/>
      </c>
      <c r="R77" s="43">
        <f>IF(M77=1,MAX(0,1-Q77/(1+Parametros!$B$20)^Parametros!$B$14/N77),0)</f>
        <v/>
      </c>
      <c r="S77" s="43">
        <f>IF(M77=1,Parametros!$B$15*R77+(1-Parametros!$B$15),0)</f>
        <v/>
      </c>
      <c r="T77" s="42">
        <f>IF(M77=1,-Parametros!$B$7-Parametros!$B$22+INDEX($G$18:$G$81,A77-3)+Parametros!$B$15*Q77/(1+Parametros!$B$20)^(A77+Parametros!$B$14),0)</f>
        <v/>
      </c>
      <c r="U77" s="42">
        <f>IF(M77=1,INDEX($I$18:$I$81,A77-3),0)</f>
        <v/>
      </c>
      <c r="V77" s="42">
        <f>IF(M77=1,-Parametros!$B$7-Parametros!$B$22+INDEX($L$18:$L$81,A77-3)+Parametros!$B$15*MIN(O77*(1-Parametros!$B$13),U77*(1+Parametros!$B$27)^(3+Parametros!$B$14))/(1+Parametros!$B$20)^(A77+Parametros!$B$14),0)</f>
        <v/>
      </c>
      <c r="W77" s="44">
        <f>IF(M77=1,((A77-3)/(Parametros!$B$16-3))*EXP(1-(A77-3)/(Parametros!$B$16-3)),0)</f>
        <v/>
      </c>
      <c r="X77" s="44">
        <f>W77+X76</f>
        <v/>
      </c>
      <c r="Y77" s="45">
        <f>W77/$B$9</f>
        <v/>
      </c>
      <c r="Z77" s="42">
        <f>S77*N77/(1+Parametros!$B$20)^A77</f>
        <v/>
      </c>
      <c r="AA77" s="41">
        <f>IF(AND(M77=1,O77*(1-Parametros!$B$13)&gt;=N77),1,0)</f>
        <v/>
      </c>
    </row>
    <row r="78">
      <c r="A78" s="41" t="n">
        <v>60</v>
      </c>
      <c r="B78" s="41">
        <f>IF(A78&lt;=Parametros!$B$10,1,0)</f>
        <v/>
      </c>
      <c r="C78" s="42">
        <f>IF(AND(A78&gt;=1,A78&lt;=Parametros!$B$10),$B$4,0)</f>
        <v/>
      </c>
      <c r="D78" s="42">
        <f>IF(A78&lt;=Parametros!$B$10,Parametros!$B$7*((1+Parametros!$B$8)^Parametros!$B$10-(1+Parametros!$B$8)^A78)/((1+Parametros!$B$8)^Parametros!$B$10-1),0)</f>
        <v/>
      </c>
      <c r="E78" s="42">
        <f>IF(AND(A78&gt;=1,A78&lt;=Parametros!$B$10),Parametros!$B$21/12*D77,0)</f>
        <v/>
      </c>
      <c r="F78" s="42">
        <f>C78-E78</f>
        <v/>
      </c>
      <c r="G78" s="42">
        <f>F78/(1+Parametros!$B$20)^A78+G77</f>
        <v/>
      </c>
      <c r="H78" s="42">
        <f>IF(AND(A78&gt;=1,A78&lt;=Parametros!$B$10),$B$5,0)</f>
        <v/>
      </c>
      <c r="I78" s="42">
        <f>IF(A78&lt;=Parametros!$B$10,Parametros!$B$7*((1+Parametros!$B$27)^Parametros!$B$10-(1+Parametros!$B$27)^A78)/((1+Parametros!$B$27)^Parametros!$B$10-1),0)</f>
        <v/>
      </c>
      <c r="J78" s="42">
        <f>IF(AND(A78&gt;=1,A78&lt;=Parametros!$B$10),Parametros!$B$21/12*I77,0)</f>
        <v/>
      </c>
      <c r="K78" s="42">
        <f>H78-J78</f>
        <v/>
      </c>
      <c r="L78" s="42">
        <f>K78/(1+Parametros!$B$20)^A78+L77</f>
        <v/>
      </c>
      <c r="M78" s="41">
        <f>IF(AND(A78&gt;=4,A78&lt;=Parametros!$B$10+3),1,0)</f>
        <v/>
      </c>
      <c r="N78" s="42">
        <f>IF(M78=1,INDEX($D$18:$D$81,A78-3),0)</f>
        <v/>
      </c>
      <c r="O78" s="42">
        <f>IF(M78=1,Parametros!$B$5*(1-Parametros!$B$12)*(1-Parametros!$B$11)^((A78+Parametros!$B$14)/12),0)</f>
        <v/>
      </c>
      <c r="P78" s="42">
        <f>N78*(1+Parametros!$B$8)^(3+Parametros!$B$14)</f>
        <v/>
      </c>
      <c r="Q78" s="42">
        <f>MIN(O78*(1-Parametros!$B$13),P78)</f>
        <v/>
      </c>
      <c r="R78" s="43">
        <f>IF(M78=1,MAX(0,1-Q78/(1+Parametros!$B$20)^Parametros!$B$14/N78),0)</f>
        <v/>
      </c>
      <c r="S78" s="43">
        <f>IF(M78=1,Parametros!$B$15*R78+(1-Parametros!$B$15),0)</f>
        <v/>
      </c>
      <c r="T78" s="42">
        <f>IF(M78=1,-Parametros!$B$7-Parametros!$B$22+INDEX($G$18:$G$81,A78-3)+Parametros!$B$15*Q78/(1+Parametros!$B$20)^(A78+Parametros!$B$14),0)</f>
        <v/>
      </c>
      <c r="U78" s="42">
        <f>IF(M78=1,INDEX($I$18:$I$81,A78-3),0)</f>
        <v/>
      </c>
      <c r="V78" s="42">
        <f>IF(M78=1,-Parametros!$B$7-Parametros!$B$22+INDEX($L$18:$L$81,A78-3)+Parametros!$B$15*MIN(O78*(1-Parametros!$B$13),U78*(1+Parametros!$B$27)^(3+Parametros!$B$14))/(1+Parametros!$B$20)^(A78+Parametros!$B$14),0)</f>
        <v/>
      </c>
      <c r="W78" s="44">
        <f>IF(M78=1,((A78-3)/(Parametros!$B$16-3))*EXP(1-(A78-3)/(Parametros!$B$16-3)),0)</f>
        <v/>
      </c>
      <c r="X78" s="44">
        <f>W78+X77</f>
        <v/>
      </c>
      <c r="Y78" s="45">
        <f>W78/$B$9</f>
        <v/>
      </c>
      <c r="Z78" s="42">
        <f>S78*N78/(1+Parametros!$B$20)^A78</f>
        <v/>
      </c>
      <c r="AA78" s="41">
        <f>IF(AND(M78=1,O78*(1-Parametros!$B$13)&gt;=N78),1,0)</f>
        <v/>
      </c>
    </row>
    <row r="79">
      <c r="A79" s="41" t="n">
        <v>61</v>
      </c>
      <c r="B79" s="41">
        <f>IF(A79&lt;=Parametros!$B$10,1,0)</f>
        <v/>
      </c>
      <c r="C79" s="42">
        <f>IF(AND(A79&gt;=1,A79&lt;=Parametros!$B$10),$B$4,0)</f>
        <v/>
      </c>
      <c r="D79" s="42">
        <f>IF(A79&lt;=Parametros!$B$10,Parametros!$B$7*((1+Parametros!$B$8)^Parametros!$B$10-(1+Parametros!$B$8)^A79)/((1+Parametros!$B$8)^Parametros!$B$10-1),0)</f>
        <v/>
      </c>
      <c r="E79" s="42">
        <f>IF(AND(A79&gt;=1,A79&lt;=Parametros!$B$10),Parametros!$B$21/12*D78,0)</f>
        <v/>
      </c>
      <c r="F79" s="42">
        <f>C79-E79</f>
        <v/>
      </c>
      <c r="G79" s="42">
        <f>F79/(1+Parametros!$B$20)^A79+G78</f>
        <v/>
      </c>
      <c r="H79" s="42">
        <f>IF(AND(A79&gt;=1,A79&lt;=Parametros!$B$10),$B$5,0)</f>
        <v/>
      </c>
      <c r="I79" s="42">
        <f>IF(A79&lt;=Parametros!$B$10,Parametros!$B$7*((1+Parametros!$B$27)^Parametros!$B$10-(1+Parametros!$B$27)^A79)/((1+Parametros!$B$27)^Parametros!$B$10-1),0)</f>
        <v/>
      </c>
      <c r="J79" s="42">
        <f>IF(AND(A79&gt;=1,A79&lt;=Parametros!$B$10),Parametros!$B$21/12*I78,0)</f>
        <v/>
      </c>
      <c r="K79" s="42">
        <f>H79-J79</f>
        <v/>
      </c>
      <c r="L79" s="42">
        <f>K79/(1+Parametros!$B$20)^A79+L78</f>
        <v/>
      </c>
      <c r="M79" s="41">
        <f>IF(AND(A79&gt;=4,A79&lt;=Parametros!$B$10+3),1,0)</f>
        <v/>
      </c>
      <c r="N79" s="42">
        <f>IF(M79=1,INDEX($D$18:$D$81,A79-3),0)</f>
        <v/>
      </c>
      <c r="O79" s="42">
        <f>IF(M79=1,Parametros!$B$5*(1-Parametros!$B$12)*(1-Parametros!$B$11)^((A79+Parametros!$B$14)/12),0)</f>
        <v/>
      </c>
      <c r="P79" s="42">
        <f>N79*(1+Parametros!$B$8)^(3+Parametros!$B$14)</f>
        <v/>
      </c>
      <c r="Q79" s="42">
        <f>MIN(O79*(1-Parametros!$B$13),P79)</f>
        <v/>
      </c>
      <c r="R79" s="43">
        <f>IF(M79=1,MAX(0,1-Q79/(1+Parametros!$B$20)^Parametros!$B$14/N79),0)</f>
        <v/>
      </c>
      <c r="S79" s="43">
        <f>IF(M79=1,Parametros!$B$15*R79+(1-Parametros!$B$15),0)</f>
        <v/>
      </c>
      <c r="T79" s="42">
        <f>IF(M79=1,-Parametros!$B$7-Parametros!$B$22+INDEX($G$18:$G$81,A79-3)+Parametros!$B$15*Q79/(1+Parametros!$B$20)^(A79+Parametros!$B$14),0)</f>
        <v/>
      </c>
      <c r="U79" s="42">
        <f>IF(M79=1,INDEX($I$18:$I$81,A79-3),0)</f>
        <v/>
      </c>
      <c r="V79" s="42">
        <f>IF(M79=1,-Parametros!$B$7-Parametros!$B$22+INDEX($L$18:$L$81,A79-3)+Parametros!$B$15*MIN(O79*(1-Parametros!$B$13),U79*(1+Parametros!$B$27)^(3+Parametros!$B$14))/(1+Parametros!$B$20)^(A79+Parametros!$B$14),0)</f>
        <v/>
      </c>
      <c r="W79" s="44">
        <f>IF(M79=1,((A79-3)/(Parametros!$B$16-3))*EXP(1-(A79-3)/(Parametros!$B$16-3)),0)</f>
        <v/>
      </c>
      <c r="X79" s="44">
        <f>W79+X78</f>
        <v/>
      </c>
      <c r="Y79" s="45">
        <f>W79/$B$9</f>
        <v/>
      </c>
      <c r="Z79" s="42">
        <f>S79*N79/(1+Parametros!$B$20)^A79</f>
        <v/>
      </c>
      <c r="AA79" s="41">
        <f>IF(AND(M79=1,O79*(1-Parametros!$B$13)&gt;=N79),1,0)</f>
        <v/>
      </c>
    </row>
    <row r="80">
      <c r="A80" s="41" t="n">
        <v>62</v>
      </c>
      <c r="B80" s="41">
        <f>IF(A80&lt;=Parametros!$B$10,1,0)</f>
        <v/>
      </c>
      <c r="C80" s="42">
        <f>IF(AND(A80&gt;=1,A80&lt;=Parametros!$B$10),$B$4,0)</f>
        <v/>
      </c>
      <c r="D80" s="42">
        <f>IF(A80&lt;=Parametros!$B$10,Parametros!$B$7*((1+Parametros!$B$8)^Parametros!$B$10-(1+Parametros!$B$8)^A80)/((1+Parametros!$B$8)^Parametros!$B$10-1),0)</f>
        <v/>
      </c>
      <c r="E80" s="42">
        <f>IF(AND(A80&gt;=1,A80&lt;=Parametros!$B$10),Parametros!$B$21/12*D79,0)</f>
        <v/>
      </c>
      <c r="F80" s="42">
        <f>C80-E80</f>
        <v/>
      </c>
      <c r="G80" s="42">
        <f>F80/(1+Parametros!$B$20)^A80+G79</f>
        <v/>
      </c>
      <c r="H80" s="42">
        <f>IF(AND(A80&gt;=1,A80&lt;=Parametros!$B$10),$B$5,0)</f>
        <v/>
      </c>
      <c r="I80" s="42">
        <f>IF(A80&lt;=Parametros!$B$10,Parametros!$B$7*((1+Parametros!$B$27)^Parametros!$B$10-(1+Parametros!$B$27)^A80)/((1+Parametros!$B$27)^Parametros!$B$10-1),0)</f>
        <v/>
      </c>
      <c r="J80" s="42">
        <f>IF(AND(A80&gt;=1,A80&lt;=Parametros!$B$10),Parametros!$B$21/12*I79,0)</f>
        <v/>
      </c>
      <c r="K80" s="42">
        <f>H80-J80</f>
        <v/>
      </c>
      <c r="L80" s="42">
        <f>K80/(1+Parametros!$B$20)^A80+L79</f>
        <v/>
      </c>
      <c r="M80" s="41">
        <f>IF(AND(A80&gt;=4,A80&lt;=Parametros!$B$10+3),1,0)</f>
        <v/>
      </c>
      <c r="N80" s="42">
        <f>IF(M80=1,INDEX($D$18:$D$81,A80-3),0)</f>
        <v/>
      </c>
      <c r="O80" s="42">
        <f>IF(M80=1,Parametros!$B$5*(1-Parametros!$B$12)*(1-Parametros!$B$11)^((A80+Parametros!$B$14)/12),0)</f>
        <v/>
      </c>
      <c r="P80" s="42">
        <f>N80*(1+Parametros!$B$8)^(3+Parametros!$B$14)</f>
        <v/>
      </c>
      <c r="Q80" s="42">
        <f>MIN(O80*(1-Parametros!$B$13),P80)</f>
        <v/>
      </c>
      <c r="R80" s="43">
        <f>IF(M80=1,MAX(0,1-Q80/(1+Parametros!$B$20)^Parametros!$B$14/N80),0)</f>
        <v/>
      </c>
      <c r="S80" s="43">
        <f>IF(M80=1,Parametros!$B$15*R80+(1-Parametros!$B$15),0)</f>
        <v/>
      </c>
      <c r="T80" s="42">
        <f>IF(M80=1,-Parametros!$B$7-Parametros!$B$22+INDEX($G$18:$G$81,A80-3)+Parametros!$B$15*Q80/(1+Parametros!$B$20)^(A80+Parametros!$B$14),0)</f>
        <v/>
      </c>
      <c r="U80" s="42">
        <f>IF(M80=1,INDEX($I$18:$I$81,A80-3),0)</f>
        <v/>
      </c>
      <c r="V80" s="42">
        <f>IF(M80=1,-Parametros!$B$7-Parametros!$B$22+INDEX($L$18:$L$81,A80-3)+Parametros!$B$15*MIN(O80*(1-Parametros!$B$13),U80*(1+Parametros!$B$27)^(3+Parametros!$B$14))/(1+Parametros!$B$20)^(A80+Parametros!$B$14),0)</f>
        <v/>
      </c>
      <c r="W80" s="44">
        <f>IF(M80=1,((A80-3)/(Parametros!$B$16-3))*EXP(1-(A80-3)/(Parametros!$B$16-3)),0)</f>
        <v/>
      </c>
      <c r="X80" s="44">
        <f>W80+X79</f>
        <v/>
      </c>
      <c r="Y80" s="45">
        <f>W80/$B$9</f>
        <v/>
      </c>
      <c r="Z80" s="42">
        <f>S80*N80/(1+Parametros!$B$20)^A80</f>
        <v/>
      </c>
      <c r="AA80" s="41">
        <f>IF(AND(M80=1,O80*(1-Parametros!$B$13)&gt;=N80),1,0)</f>
        <v/>
      </c>
    </row>
    <row r="81">
      <c r="A81" s="41" t="n">
        <v>63</v>
      </c>
      <c r="B81" s="41">
        <f>IF(A81&lt;=Parametros!$B$10,1,0)</f>
        <v/>
      </c>
      <c r="C81" s="42">
        <f>IF(AND(A81&gt;=1,A81&lt;=Parametros!$B$10),$B$4,0)</f>
        <v/>
      </c>
      <c r="D81" s="42">
        <f>IF(A81&lt;=Parametros!$B$10,Parametros!$B$7*((1+Parametros!$B$8)^Parametros!$B$10-(1+Parametros!$B$8)^A81)/((1+Parametros!$B$8)^Parametros!$B$10-1),0)</f>
        <v/>
      </c>
      <c r="E81" s="42">
        <f>IF(AND(A81&gt;=1,A81&lt;=Parametros!$B$10),Parametros!$B$21/12*D80,0)</f>
        <v/>
      </c>
      <c r="F81" s="42">
        <f>C81-E81</f>
        <v/>
      </c>
      <c r="G81" s="42">
        <f>F81/(1+Parametros!$B$20)^A81+G80</f>
        <v/>
      </c>
      <c r="H81" s="42">
        <f>IF(AND(A81&gt;=1,A81&lt;=Parametros!$B$10),$B$5,0)</f>
        <v/>
      </c>
      <c r="I81" s="42">
        <f>IF(A81&lt;=Parametros!$B$10,Parametros!$B$7*((1+Parametros!$B$27)^Parametros!$B$10-(1+Parametros!$B$27)^A81)/((1+Parametros!$B$27)^Parametros!$B$10-1),0)</f>
        <v/>
      </c>
      <c r="J81" s="42">
        <f>IF(AND(A81&gt;=1,A81&lt;=Parametros!$B$10),Parametros!$B$21/12*I80,0)</f>
        <v/>
      </c>
      <c r="K81" s="42">
        <f>H81-J81</f>
        <v/>
      </c>
      <c r="L81" s="42">
        <f>K81/(1+Parametros!$B$20)^A81+L80</f>
        <v/>
      </c>
      <c r="M81" s="41">
        <f>IF(AND(A81&gt;=4,A81&lt;=Parametros!$B$10+3),1,0)</f>
        <v/>
      </c>
      <c r="N81" s="42">
        <f>IF(M81=1,INDEX($D$18:$D$81,A81-3),0)</f>
        <v/>
      </c>
      <c r="O81" s="42">
        <f>IF(M81=1,Parametros!$B$5*(1-Parametros!$B$12)*(1-Parametros!$B$11)^((A81+Parametros!$B$14)/12),0)</f>
        <v/>
      </c>
      <c r="P81" s="42">
        <f>N81*(1+Parametros!$B$8)^(3+Parametros!$B$14)</f>
        <v/>
      </c>
      <c r="Q81" s="42">
        <f>MIN(O81*(1-Parametros!$B$13),P81)</f>
        <v/>
      </c>
      <c r="R81" s="43">
        <f>IF(M81=1,MAX(0,1-Q81/(1+Parametros!$B$20)^Parametros!$B$14/N81),0)</f>
        <v/>
      </c>
      <c r="S81" s="43">
        <f>IF(M81=1,Parametros!$B$15*R81+(1-Parametros!$B$15),0)</f>
        <v/>
      </c>
      <c r="T81" s="42">
        <f>IF(M81=1,-Parametros!$B$7-Parametros!$B$22+INDEX($G$18:$G$81,A81-3)+Parametros!$B$15*Q81/(1+Parametros!$B$20)^(A81+Parametros!$B$14),0)</f>
        <v/>
      </c>
      <c r="U81" s="42">
        <f>IF(M81=1,INDEX($I$18:$I$81,A81-3),0)</f>
        <v/>
      </c>
      <c r="V81" s="42">
        <f>IF(M81=1,-Parametros!$B$7-Parametros!$B$22+INDEX($L$18:$L$81,A81-3)+Parametros!$B$15*MIN(O81*(1-Parametros!$B$13),U81*(1+Parametros!$B$27)^(3+Parametros!$B$14))/(1+Parametros!$B$20)^(A81+Parametros!$B$14),0)</f>
        <v/>
      </c>
      <c r="W81" s="44">
        <f>IF(M81=1,((A81-3)/(Parametros!$B$16-3))*EXP(1-(A81-3)/(Parametros!$B$16-3)),0)</f>
        <v/>
      </c>
      <c r="X81" s="44">
        <f>W81+X80</f>
        <v/>
      </c>
      <c r="Y81" s="45">
        <f>W81/$B$9</f>
        <v/>
      </c>
      <c r="Z81" s="42">
        <f>S81*N81/(1+Parametros!$B$20)^A81</f>
        <v/>
      </c>
      <c r="AA81" s="41">
        <f>IF(AND(M81=1,O81*(1-Parametros!$B$13)&gt;=N81),1,0)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3" ySplit="17" topLeftCell="D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6" t="inlineStr">
        <is>
          <t>Distribución de tiempos de default por banda (riesgos proporcionales)</t>
        </is>
      </c>
    </row>
    <row r="2">
      <c r="A2" s="21" t="inlineStr">
        <is>
          <t>λ_b = −ln(1 − PD12_b)/S12; P(default en d) = exp(−λ_b·S(d−1)) − exp(−λ_b·S(d)). Las bandas riesgosas concentran sus malos antes (la supervivencia se agota).</t>
        </is>
      </c>
    </row>
    <row r="3">
      <c r="C3" s="23" t="inlineStr">
        <is>
          <t>banda</t>
        </is>
      </c>
      <c r="D3" s="46" t="inlineStr">
        <is>
          <t>A1</t>
        </is>
      </c>
      <c r="E3" s="46" t="inlineStr">
        <is>
          <t>A2</t>
        </is>
      </c>
      <c r="F3" s="46" t="inlineStr">
        <is>
          <t>B1</t>
        </is>
      </c>
      <c r="G3" s="46" t="inlineStr">
        <is>
          <t>B2</t>
        </is>
      </c>
      <c r="H3" s="46" t="inlineStr">
        <is>
          <t>C1</t>
        </is>
      </c>
      <c r="I3" s="46" t="inlineStr">
        <is>
          <t>C2</t>
        </is>
      </c>
      <c r="J3" s="46" t="inlineStr">
        <is>
          <t>D</t>
        </is>
      </c>
      <c r="K3" s="46" t="inlineStr">
        <is>
          <t>E</t>
        </is>
      </c>
    </row>
    <row r="4">
      <c r="C4" s="23" t="inlineStr">
        <is>
          <t>PD12</t>
        </is>
      </c>
      <c r="D4" s="15">
        <f>Bandas!E5</f>
        <v/>
      </c>
      <c r="E4" s="15">
        <f>Bandas!E6</f>
        <v/>
      </c>
      <c r="F4" s="15">
        <f>Bandas!E7</f>
        <v/>
      </c>
      <c r="G4" s="15">
        <f>Bandas!E8</f>
        <v/>
      </c>
      <c r="H4" s="15">
        <f>Bandas!E9</f>
        <v/>
      </c>
      <c r="I4" s="15">
        <f>Bandas!E10</f>
        <v/>
      </c>
      <c r="J4" s="15">
        <f>Bandas!E11</f>
        <v/>
      </c>
      <c r="K4" s="15">
        <f>Bandas!E12</f>
        <v/>
      </c>
    </row>
    <row r="5">
      <c r="C5" s="23" t="inlineStr">
        <is>
          <t>λ_b (intensidad)</t>
        </is>
      </c>
      <c r="D5" s="20">
        <f>-LN(1-D4)/LGD_motos!$B$8</f>
        <v/>
      </c>
      <c r="E5" s="20">
        <f>-LN(1-E4)/LGD_motos!$B$8</f>
        <v/>
      </c>
      <c r="F5" s="20">
        <f>-LN(1-F4)/LGD_motos!$B$8</f>
        <v/>
      </c>
      <c r="G5" s="20">
        <f>-LN(1-G4)/LGD_motos!$B$8</f>
        <v/>
      </c>
      <c r="H5" s="20">
        <f>-LN(1-H4)/LGD_motos!$B$8</f>
        <v/>
      </c>
      <c r="I5" s="20">
        <f>-LN(1-I4)/LGD_motos!$B$8</f>
        <v/>
      </c>
      <c r="J5" s="20">
        <f>-LN(1-J4)/LGD_motos!$B$8</f>
        <v/>
      </c>
      <c r="K5" s="20">
        <f>-LN(1-K4)/LGD_motos!$B$8</f>
        <v/>
      </c>
    </row>
    <row r="6">
      <c r="C6" s="23" t="inlineStr">
        <is>
          <t>PD de vida (exacta)</t>
        </is>
      </c>
      <c r="D6" s="15">
        <f>1-EXP(-D5*LGD_motos!$B$9)</f>
        <v/>
      </c>
      <c r="E6" s="15">
        <f>1-EXP(-E5*LGD_motos!$B$9)</f>
        <v/>
      </c>
      <c r="F6" s="15">
        <f>1-EXP(-F5*LGD_motos!$B$9)</f>
        <v/>
      </c>
      <c r="G6" s="15">
        <f>1-EXP(-G5*LGD_motos!$B$9)</f>
        <v/>
      </c>
      <c r="H6" s="15">
        <f>1-EXP(-H5*LGD_motos!$B$9)</f>
        <v/>
      </c>
      <c r="I6" s="15">
        <f>1-EXP(-I5*LGD_motos!$B$9)</f>
        <v/>
      </c>
      <c r="J6" s="15">
        <f>1-EXP(-J5*LGD_motos!$B$9)</f>
        <v/>
      </c>
      <c r="K6" s="15">
        <f>1-EXP(-K5*LGD_motos!$B$9)</f>
        <v/>
      </c>
    </row>
    <row r="7">
      <c r="C7" s="23" t="inlineStr">
        <is>
          <t>Σ f·VPN si malo (tasa base)</t>
        </is>
      </c>
      <c r="D7" s="13">
        <f>SUMPRODUCT(D18:D81,LGD_motos!$T$18:$T$81)</f>
        <v/>
      </c>
      <c r="E7" s="13">
        <f>SUMPRODUCT(E18:E81,LGD_motos!$T$18:$T$81)</f>
        <v/>
      </c>
      <c r="F7" s="13">
        <f>SUMPRODUCT(F18:F81,LGD_motos!$T$18:$T$81)</f>
        <v/>
      </c>
      <c r="G7" s="13">
        <f>SUMPRODUCT(G18:G81,LGD_motos!$T$18:$T$81)</f>
        <v/>
      </c>
      <c r="H7" s="13">
        <f>SUMPRODUCT(H18:H81,LGD_motos!$T$18:$T$81)</f>
        <v/>
      </c>
      <c r="I7" s="13">
        <f>SUMPRODUCT(I18:I81,LGD_motos!$T$18:$T$81)</f>
        <v/>
      </c>
      <c r="J7" s="13">
        <f>SUMPRODUCT(J18:J81,LGD_motos!$T$18:$T$81)</f>
        <v/>
      </c>
      <c r="K7" s="13">
        <f>SUMPRODUCT(K18:K81,LGD_motos!$T$18:$T$81)</f>
        <v/>
      </c>
    </row>
    <row r="8">
      <c r="C8" s="23" t="inlineStr">
        <is>
          <t>Σ f·VPN si malo (TMC)</t>
        </is>
      </c>
      <c r="D8" s="13">
        <f>SUMPRODUCT(D18:D81,LGD_motos!$V$18:$V$81)</f>
        <v/>
      </c>
      <c r="E8" s="13">
        <f>SUMPRODUCT(E18:E81,LGD_motos!$V$18:$V$81)</f>
        <v/>
      </c>
      <c r="F8" s="13">
        <f>SUMPRODUCT(F18:F81,LGD_motos!$V$18:$V$81)</f>
        <v/>
      </c>
      <c r="G8" s="13">
        <f>SUMPRODUCT(G18:G81,LGD_motos!$V$18:$V$81)</f>
        <v/>
      </c>
      <c r="H8" s="13">
        <f>SUMPRODUCT(H18:H81,LGD_motos!$V$18:$V$81)</f>
        <v/>
      </c>
      <c r="I8" s="13">
        <f>SUMPRODUCT(I18:I81,LGD_motos!$V$18:$V$81)</f>
        <v/>
      </c>
      <c r="J8" s="13">
        <f>SUMPRODUCT(J18:J81,LGD_motos!$V$18:$V$81)</f>
        <v/>
      </c>
      <c r="K8" s="13">
        <f>SUMPRODUCT(K18:K81,LGD_motos!$V$18:$V$81)</f>
        <v/>
      </c>
    </row>
    <row r="9">
      <c r="C9" s="23" t="inlineStr">
        <is>
          <t>EL por crédito (VP, monto M0)</t>
        </is>
      </c>
      <c r="D9" s="13">
        <f>SUMPRODUCT(D18:D81,LGD_motos!$Z$18:$Z$81)</f>
        <v/>
      </c>
      <c r="E9" s="13">
        <f>SUMPRODUCT(E18:E81,LGD_motos!$Z$18:$Z$81)</f>
        <v/>
      </c>
      <c r="F9" s="13">
        <f>SUMPRODUCT(F18:F81,LGD_motos!$Z$18:$Z$81)</f>
        <v/>
      </c>
      <c r="G9" s="13">
        <f>SUMPRODUCT(G18:G81,LGD_motos!$Z$18:$Z$81)</f>
        <v/>
      </c>
      <c r="H9" s="13">
        <f>SUMPRODUCT(H18:H81,LGD_motos!$Z$18:$Z$81)</f>
        <v/>
      </c>
      <c r="I9" s="13">
        <f>SUMPRODUCT(I18:I81,LGD_motos!$Z$18:$Z$81)</f>
        <v/>
      </c>
      <c r="J9" s="13">
        <f>SUMPRODUCT(J18:J81,LGD_motos!$Z$18:$Z$81)</f>
        <v/>
      </c>
      <c r="K9" s="13">
        <f>SUMPRODUCT(K18:K81,LGD_motos!$Z$18:$Z$81)</f>
        <v/>
      </c>
    </row>
    <row r="17">
      <c r="A17" s="7" t="inlineStr">
        <is>
          <t>mes d</t>
        </is>
      </c>
      <c r="B17" s="7" t="inlineStr">
        <is>
          <t>S(d)</t>
        </is>
      </c>
      <c r="C17" s="7" t="inlineStr">
        <is>
          <t>S(d−1)</t>
        </is>
      </c>
      <c r="D17" s="7" t="inlineStr">
        <is>
          <t>P(default en d) · A1</t>
        </is>
      </c>
      <c r="E17" s="7" t="inlineStr">
        <is>
          <t>P(default en d) · A2</t>
        </is>
      </c>
      <c r="F17" s="7" t="inlineStr">
        <is>
          <t>P(default en d) · B1</t>
        </is>
      </c>
      <c r="G17" s="7" t="inlineStr">
        <is>
          <t>P(default en d) · B2</t>
        </is>
      </c>
      <c r="H17" s="7" t="inlineStr">
        <is>
          <t>P(default en d) · C1</t>
        </is>
      </c>
      <c r="I17" s="7" t="inlineStr">
        <is>
          <t>P(default en d) · C2</t>
        </is>
      </c>
      <c r="J17" s="7" t="inlineStr">
        <is>
          <t>P(default en d) · D</t>
        </is>
      </c>
      <c r="K17" s="7" t="inlineStr">
        <is>
          <t>P(default en d) · E</t>
        </is>
      </c>
    </row>
    <row r="18">
      <c r="A18">
        <f>LGD_motos!A18</f>
        <v/>
      </c>
      <c r="B18" s="44">
        <f>LGD_motos!X18</f>
        <v/>
      </c>
      <c r="C18" s="44">
        <f>0</f>
        <v/>
      </c>
      <c r="D18" s="47">
        <f>EXP(-D$5*C18)-EXP(-D$5*B18)</f>
        <v/>
      </c>
      <c r="E18" s="47">
        <f>EXP(-E$5*C18)-EXP(-E$5*B18)</f>
        <v/>
      </c>
      <c r="F18" s="47">
        <f>EXP(-F$5*C18)-EXP(-F$5*B18)</f>
        <v/>
      </c>
      <c r="G18" s="47">
        <f>EXP(-G$5*C18)-EXP(-G$5*B18)</f>
        <v/>
      </c>
      <c r="H18" s="47">
        <f>EXP(-H$5*C18)-EXP(-H$5*B18)</f>
        <v/>
      </c>
      <c r="I18" s="47">
        <f>EXP(-I$5*C18)-EXP(-I$5*B18)</f>
        <v/>
      </c>
      <c r="J18" s="47">
        <f>EXP(-J$5*C18)-EXP(-J$5*B18)</f>
        <v/>
      </c>
      <c r="K18" s="47">
        <f>EXP(-K$5*C18)-EXP(-K$5*B18)</f>
        <v/>
      </c>
    </row>
    <row r="19">
      <c r="A19">
        <f>LGD_motos!A19</f>
        <v/>
      </c>
      <c r="B19" s="44">
        <f>LGD_motos!X19</f>
        <v/>
      </c>
      <c r="C19" s="44">
        <f>B18</f>
        <v/>
      </c>
      <c r="D19" s="47">
        <f>EXP(-D$5*C19)-EXP(-D$5*B19)</f>
        <v/>
      </c>
      <c r="E19" s="47">
        <f>EXP(-E$5*C19)-EXP(-E$5*B19)</f>
        <v/>
      </c>
      <c r="F19" s="47">
        <f>EXP(-F$5*C19)-EXP(-F$5*B19)</f>
        <v/>
      </c>
      <c r="G19" s="47">
        <f>EXP(-G$5*C19)-EXP(-G$5*B19)</f>
        <v/>
      </c>
      <c r="H19" s="47">
        <f>EXP(-H$5*C19)-EXP(-H$5*B19)</f>
        <v/>
      </c>
      <c r="I19" s="47">
        <f>EXP(-I$5*C19)-EXP(-I$5*B19)</f>
        <v/>
      </c>
      <c r="J19" s="47">
        <f>EXP(-J$5*C19)-EXP(-J$5*B19)</f>
        <v/>
      </c>
      <c r="K19" s="47">
        <f>EXP(-K$5*C19)-EXP(-K$5*B19)</f>
        <v/>
      </c>
    </row>
    <row r="20">
      <c r="A20">
        <f>LGD_motos!A20</f>
        <v/>
      </c>
      <c r="B20" s="44">
        <f>LGD_motos!X20</f>
        <v/>
      </c>
      <c r="C20" s="44">
        <f>B19</f>
        <v/>
      </c>
      <c r="D20" s="47">
        <f>EXP(-D$5*C20)-EXP(-D$5*B20)</f>
        <v/>
      </c>
      <c r="E20" s="47">
        <f>EXP(-E$5*C20)-EXP(-E$5*B20)</f>
        <v/>
      </c>
      <c r="F20" s="47">
        <f>EXP(-F$5*C20)-EXP(-F$5*B20)</f>
        <v/>
      </c>
      <c r="G20" s="47">
        <f>EXP(-G$5*C20)-EXP(-G$5*B20)</f>
        <v/>
      </c>
      <c r="H20" s="47">
        <f>EXP(-H$5*C20)-EXP(-H$5*B20)</f>
        <v/>
      </c>
      <c r="I20" s="47">
        <f>EXP(-I$5*C20)-EXP(-I$5*B20)</f>
        <v/>
      </c>
      <c r="J20" s="47">
        <f>EXP(-J$5*C20)-EXP(-J$5*B20)</f>
        <v/>
      </c>
      <c r="K20" s="47">
        <f>EXP(-K$5*C20)-EXP(-K$5*B20)</f>
        <v/>
      </c>
    </row>
    <row r="21">
      <c r="A21">
        <f>LGD_motos!A21</f>
        <v/>
      </c>
      <c r="B21" s="44">
        <f>LGD_motos!X21</f>
        <v/>
      </c>
      <c r="C21" s="44">
        <f>B20</f>
        <v/>
      </c>
      <c r="D21" s="47">
        <f>EXP(-D$5*C21)-EXP(-D$5*B21)</f>
        <v/>
      </c>
      <c r="E21" s="47">
        <f>EXP(-E$5*C21)-EXP(-E$5*B21)</f>
        <v/>
      </c>
      <c r="F21" s="47">
        <f>EXP(-F$5*C21)-EXP(-F$5*B21)</f>
        <v/>
      </c>
      <c r="G21" s="47">
        <f>EXP(-G$5*C21)-EXP(-G$5*B21)</f>
        <v/>
      </c>
      <c r="H21" s="47">
        <f>EXP(-H$5*C21)-EXP(-H$5*B21)</f>
        <v/>
      </c>
      <c r="I21" s="47">
        <f>EXP(-I$5*C21)-EXP(-I$5*B21)</f>
        <v/>
      </c>
      <c r="J21" s="47">
        <f>EXP(-J$5*C21)-EXP(-J$5*B21)</f>
        <v/>
      </c>
      <c r="K21" s="47">
        <f>EXP(-K$5*C21)-EXP(-K$5*B21)</f>
        <v/>
      </c>
    </row>
    <row r="22">
      <c r="A22">
        <f>LGD_motos!A22</f>
        <v/>
      </c>
      <c r="B22" s="44">
        <f>LGD_motos!X22</f>
        <v/>
      </c>
      <c r="C22" s="44">
        <f>B21</f>
        <v/>
      </c>
      <c r="D22" s="47">
        <f>EXP(-D$5*C22)-EXP(-D$5*B22)</f>
        <v/>
      </c>
      <c r="E22" s="47">
        <f>EXP(-E$5*C22)-EXP(-E$5*B22)</f>
        <v/>
      </c>
      <c r="F22" s="47">
        <f>EXP(-F$5*C22)-EXP(-F$5*B22)</f>
        <v/>
      </c>
      <c r="G22" s="47">
        <f>EXP(-G$5*C22)-EXP(-G$5*B22)</f>
        <v/>
      </c>
      <c r="H22" s="47">
        <f>EXP(-H$5*C22)-EXP(-H$5*B22)</f>
        <v/>
      </c>
      <c r="I22" s="47">
        <f>EXP(-I$5*C22)-EXP(-I$5*B22)</f>
        <v/>
      </c>
      <c r="J22" s="47">
        <f>EXP(-J$5*C22)-EXP(-J$5*B22)</f>
        <v/>
      </c>
      <c r="K22" s="47">
        <f>EXP(-K$5*C22)-EXP(-K$5*B22)</f>
        <v/>
      </c>
    </row>
    <row r="23">
      <c r="A23">
        <f>LGD_motos!A23</f>
        <v/>
      </c>
      <c r="B23" s="44">
        <f>LGD_motos!X23</f>
        <v/>
      </c>
      <c r="C23" s="44">
        <f>B22</f>
        <v/>
      </c>
      <c r="D23" s="47">
        <f>EXP(-D$5*C23)-EXP(-D$5*B23)</f>
        <v/>
      </c>
      <c r="E23" s="47">
        <f>EXP(-E$5*C23)-EXP(-E$5*B23)</f>
        <v/>
      </c>
      <c r="F23" s="47">
        <f>EXP(-F$5*C23)-EXP(-F$5*B23)</f>
        <v/>
      </c>
      <c r="G23" s="47">
        <f>EXP(-G$5*C23)-EXP(-G$5*B23)</f>
        <v/>
      </c>
      <c r="H23" s="47">
        <f>EXP(-H$5*C23)-EXP(-H$5*B23)</f>
        <v/>
      </c>
      <c r="I23" s="47">
        <f>EXP(-I$5*C23)-EXP(-I$5*B23)</f>
        <v/>
      </c>
      <c r="J23" s="47">
        <f>EXP(-J$5*C23)-EXP(-J$5*B23)</f>
        <v/>
      </c>
      <c r="K23" s="47">
        <f>EXP(-K$5*C23)-EXP(-K$5*B23)</f>
        <v/>
      </c>
    </row>
    <row r="24">
      <c r="A24">
        <f>LGD_motos!A24</f>
        <v/>
      </c>
      <c r="B24" s="44">
        <f>LGD_motos!X24</f>
        <v/>
      </c>
      <c r="C24" s="44">
        <f>B23</f>
        <v/>
      </c>
      <c r="D24" s="47">
        <f>EXP(-D$5*C24)-EXP(-D$5*B24)</f>
        <v/>
      </c>
      <c r="E24" s="47">
        <f>EXP(-E$5*C24)-EXP(-E$5*B24)</f>
        <v/>
      </c>
      <c r="F24" s="47">
        <f>EXP(-F$5*C24)-EXP(-F$5*B24)</f>
        <v/>
      </c>
      <c r="G24" s="47">
        <f>EXP(-G$5*C24)-EXP(-G$5*B24)</f>
        <v/>
      </c>
      <c r="H24" s="47">
        <f>EXP(-H$5*C24)-EXP(-H$5*B24)</f>
        <v/>
      </c>
      <c r="I24" s="47">
        <f>EXP(-I$5*C24)-EXP(-I$5*B24)</f>
        <v/>
      </c>
      <c r="J24" s="47">
        <f>EXP(-J$5*C24)-EXP(-J$5*B24)</f>
        <v/>
      </c>
      <c r="K24" s="47">
        <f>EXP(-K$5*C24)-EXP(-K$5*B24)</f>
        <v/>
      </c>
    </row>
    <row r="25">
      <c r="A25">
        <f>LGD_motos!A25</f>
        <v/>
      </c>
      <c r="B25" s="44">
        <f>LGD_motos!X25</f>
        <v/>
      </c>
      <c r="C25" s="44">
        <f>B24</f>
        <v/>
      </c>
      <c r="D25" s="47">
        <f>EXP(-D$5*C25)-EXP(-D$5*B25)</f>
        <v/>
      </c>
      <c r="E25" s="47">
        <f>EXP(-E$5*C25)-EXP(-E$5*B25)</f>
        <v/>
      </c>
      <c r="F25" s="47">
        <f>EXP(-F$5*C25)-EXP(-F$5*B25)</f>
        <v/>
      </c>
      <c r="G25" s="47">
        <f>EXP(-G$5*C25)-EXP(-G$5*B25)</f>
        <v/>
      </c>
      <c r="H25" s="47">
        <f>EXP(-H$5*C25)-EXP(-H$5*B25)</f>
        <v/>
      </c>
      <c r="I25" s="47">
        <f>EXP(-I$5*C25)-EXP(-I$5*B25)</f>
        <v/>
      </c>
      <c r="J25" s="47">
        <f>EXP(-J$5*C25)-EXP(-J$5*B25)</f>
        <v/>
      </c>
      <c r="K25" s="47">
        <f>EXP(-K$5*C25)-EXP(-K$5*B25)</f>
        <v/>
      </c>
    </row>
    <row r="26">
      <c r="A26">
        <f>LGD_motos!A26</f>
        <v/>
      </c>
      <c r="B26" s="44">
        <f>LGD_motos!X26</f>
        <v/>
      </c>
      <c r="C26" s="44">
        <f>B25</f>
        <v/>
      </c>
      <c r="D26" s="47">
        <f>EXP(-D$5*C26)-EXP(-D$5*B26)</f>
        <v/>
      </c>
      <c r="E26" s="47">
        <f>EXP(-E$5*C26)-EXP(-E$5*B26)</f>
        <v/>
      </c>
      <c r="F26" s="47">
        <f>EXP(-F$5*C26)-EXP(-F$5*B26)</f>
        <v/>
      </c>
      <c r="G26" s="47">
        <f>EXP(-G$5*C26)-EXP(-G$5*B26)</f>
        <v/>
      </c>
      <c r="H26" s="47">
        <f>EXP(-H$5*C26)-EXP(-H$5*B26)</f>
        <v/>
      </c>
      <c r="I26" s="47">
        <f>EXP(-I$5*C26)-EXP(-I$5*B26)</f>
        <v/>
      </c>
      <c r="J26" s="47">
        <f>EXP(-J$5*C26)-EXP(-J$5*B26)</f>
        <v/>
      </c>
      <c r="K26" s="47">
        <f>EXP(-K$5*C26)-EXP(-K$5*B26)</f>
        <v/>
      </c>
    </row>
    <row r="27">
      <c r="A27">
        <f>LGD_motos!A27</f>
        <v/>
      </c>
      <c r="B27" s="44">
        <f>LGD_motos!X27</f>
        <v/>
      </c>
      <c r="C27" s="44">
        <f>B26</f>
        <v/>
      </c>
      <c r="D27" s="47">
        <f>EXP(-D$5*C27)-EXP(-D$5*B27)</f>
        <v/>
      </c>
      <c r="E27" s="47">
        <f>EXP(-E$5*C27)-EXP(-E$5*B27)</f>
        <v/>
      </c>
      <c r="F27" s="47">
        <f>EXP(-F$5*C27)-EXP(-F$5*B27)</f>
        <v/>
      </c>
      <c r="G27" s="47">
        <f>EXP(-G$5*C27)-EXP(-G$5*B27)</f>
        <v/>
      </c>
      <c r="H27" s="47">
        <f>EXP(-H$5*C27)-EXP(-H$5*B27)</f>
        <v/>
      </c>
      <c r="I27" s="47">
        <f>EXP(-I$5*C27)-EXP(-I$5*B27)</f>
        <v/>
      </c>
      <c r="J27" s="47">
        <f>EXP(-J$5*C27)-EXP(-J$5*B27)</f>
        <v/>
      </c>
      <c r="K27" s="47">
        <f>EXP(-K$5*C27)-EXP(-K$5*B27)</f>
        <v/>
      </c>
    </row>
    <row r="28">
      <c r="A28">
        <f>LGD_motos!A28</f>
        <v/>
      </c>
      <c r="B28" s="44">
        <f>LGD_motos!X28</f>
        <v/>
      </c>
      <c r="C28" s="44">
        <f>B27</f>
        <v/>
      </c>
      <c r="D28" s="47">
        <f>EXP(-D$5*C28)-EXP(-D$5*B28)</f>
        <v/>
      </c>
      <c r="E28" s="47">
        <f>EXP(-E$5*C28)-EXP(-E$5*B28)</f>
        <v/>
      </c>
      <c r="F28" s="47">
        <f>EXP(-F$5*C28)-EXP(-F$5*B28)</f>
        <v/>
      </c>
      <c r="G28" s="47">
        <f>EXP(-G$5*C28)-EXP(-G$5*B28)</f>
        <v/>
      </c>
      <c r="H28" s="47">
        <f>EXP(-H$5*C28)-EXP(-H$5*B28)</f>
        <v/>
      </c>
      <c r="I28" s="47">
        <f>EXP(-I$5*C28)-EXP(-I$5*B28)</f>
        <v/>
      </c>
      <c r="J28" s="47">
        <f>EXP(-J$5*C28)-EXP(-J$5*B28)</f>
        <v/>
      </c>
      <c r="K28" s="47">
        <f>EXP(-K$5*C28)-EXP(-K$5*B28)</f>
        <v/>
      </c>
    </row>
    <row r="29">
      <c r="A29">
        <f>LGD_motos!A29</f>
        <v/>
      </c>
      <c r="B29" s="44">
        <f>LGD_motos!X29</f>
        <v/>
      </c>
      <c r="C29" s="44">
        <f>B28</f>
        <v/>
      </c>
      <c r="D29" s="47">
        <f>EXP(-D$5*C29)-EXP(-D$5*B29)</f>
        <v/>
      </c>
      <c r="E29" s="47">
        <f>EXP(-E$5*C29)-EXP(-E$5*B29)</f>
        <v/>
      </c>
      <c r="F29" s="47">
        <f>EXP(-F$5*C29)-EXP(-F$5*B29)</f>
        <v/>
      </c>
      <c r="G29" s="47">
        <f>EXP(-G$5*C29)-EXP(-G$5*B29)</f>
        <v/>
      </c>
      <c r="H29" s="47">
        <f>EXP(-H$5*C29)-EXP(-H$5*B29)</f>
        <v/>
      </c>
      <c r="I29" s="47">
        <f>EXP(-I$5*C29)-EXP(-I$5*B29)</f>
        <v/>
      </c>
      <c r="J29" s="47">
        <f>EXP(-J$5*C29)-EXP(-J$5*B29)</f>
        <v/>
      </c>
      <c r="K29" s="47">
        <f>EXP(-K$5*C29)-EXP(-K$5*B29)</f>
        <v/>
      </c>
    </row>
    <row r="30">
      <c r="A30">
        <f>LGD_motos!A30</f>
        <v/>
      </c>
      <c r="B30" s="44">
        <f>LGD_motos!X30</f>
        <v/>
      </c>
      <c r="C30" s="44">
        <f>B29</f>
        <v/>
      </c>
      <c r="D30" s="47">
        <f>EXP(-D$5*C30)-EXP(-D$5*B30)</f>
        <v/>
      </c>
      <c r="E30" s="47">
        <f>EXP(-E$5*C30)-EXP(-E$5*B30)</f>
        <v/>
      </c>
      <c r="F30" s="47">
        <f>EXP(-F$5*C30)-EXP(-F$5*B30)</f>
        <v/>
      </c>
      <c r="G30" s="47">
        <f>EXP(-G$5*C30)-EXP(-G$5*B30)</f>
        <v/>
      </c>
      <c r="H30" s="47">
        <f>EXP(-H$5*C30)-EXP(-H$5*B30)</f>
        <v/>
      </c>
      <c r="I30" s="47">
        <f>EXP(-I$5*C30)-EXP(-I$5*B30)</f>
        <v/>
      </c>
      <c r="J30" s="47">
        <f>EXP(-J$5*C30)-EXP(-J$5*B30)</f>
        <v/>
      </c>
      <c r="K30" s="47">
        <f>EXP(-K$5*C30)-EXP(-K$5*B30)</f>
        <v/>
      </c>
    </row>
    <row r="31">
      <c r="A31">
        <f>LGD_motos!A31</f>
        <v/>
      </c>
      <c r="B31" s="44">
        <f>LGD_motos!X31</f>
        <v/>
      </c>
      <c r="C31" s="44">
        <f>B30</f>
        <v/>
      </c>
      <c r="D31" s="47">
        <f>EXP(-D$5*C31)-EXP(-D$5*B31)</f>
        <v/>
      </c>
      <c r="E31" s="47">
        <f>EXP(-E$5*C31)-EXP(-E$5*B31)</f>
        <v/>
      </c>
      <c r="F31" s="47">
        <f>EXP(-F$5*C31)-EXP(-F$5*B31)</f>
        <v/>
      </c>
      <c r="G31" s="47">
        <f>EXP(-G$5*C31)-EXP(-G$5*B31)</f>
        <v/>
      </c>
      <c r="H31" s="47">
        <f>EXP(-H$5*C31)-EXP(-H$5*B31)</f>
        <v/>
      </c>
      <c r="I31" s="47">
        <f>EXP(-I$5*C31)-EXP(-I$5*B31)</f>
        <v/>
      </c>
      <c r="J31" s="47">
        <f>EXP(-J$5*C31)-EXP(-J$5*B31)</f>
        <v/>
      </c>
      <c r="K31" s="47">
        <f>EXP(-K$5*C31)-EXP(-K$5*B31)</f>
        <v/>
      </c>
    </row>
    <row r="32">
      <c r="A32">
        <f>LGD_motos!A32</f>
        <v/>
      </c>
      <c r="B32" s="44">
        <f>LGD_motos!X32</f>
        <v/>
      </c>
      <c r="C32" s="44">
        <f>B31</f>
        <v/>
      </c>
      <c r="D32" s="47">
        <f>EXP(-D$5*C32)-EXP(-D$5*B32)</f>
        <v/>
      </c>
      <c r="E32" s="47">
        <f>EXP(-E$5*C32)-EXP(-E$5*B32)</f>
        <v/>
      </c>
      <c r="F32" s="47">
        <f>EXP(-F$5*C32)-EXP(-F$5*B32)</f>
        <v/>
      </c>
      <c r="G32" s="47">
        <f>EXP(-G$5*C32)-EXP(-G$5*B32)</f>
        <v/>
      </c>
      <c r="H32" s="47">
        <f>EXP(-H$5*C32)-EXP(-H$5*B32)</f>
        <v/>
      </c>
      <c r="I32" s="47">
        <f>EXP(-I$5*C32)-EXP(-I$5*B32)</f>
        <v/>
      </c>
      <c r="J32" s="47">
        <f>EXP(-J$5*C32)-EXP(-J$5*B32)</f>
        <v/>
      </c>
      <c r="K32" s="47">
        <f>EXP(-K$5*C32)-EXP(-K$5*B32)</f>
        <v/>
      </c>
    </row>
    <row r="33">
      <c r="A33">
        <f>LGD_motos!A33</f>
        <v/>
      </c>
      <c r="B33" s="44">
        <f>LGD_motos!X33</f>
        <v/>
      </c>
      <c r="C33" s="44">
        <f>B32</f>
        <v/>
      </c>
      <c r="D33" s="47">
        <f>EXP(-D$5*C33)-EXP(-D$5*B33)</f>
        <v/>
      </c>
      <c r="E33" s="47">
        <f>EXP(-E$5*C33)-EXP(-E$5*B33)</f>
        <v/>
      </c>
      <c r="F33" s="47">
        <f>EXP(-F$5*C33)-EXP(-F$5*B33)</f>
        <v/>
      </c>
      <c r="G33" s="47">
        <f>EXP(-G$5*C33)-EXP(-G$5*B33)</f>
        <v/>
      </c>
      <c r="H33" s="47">
        <f>EXP(-H$5*C33)-EXP(-H$5*B33)</f>
        <v/>
      </c>
      <c r="I33" s="47">
        <f>EXP(-I$5*C33)-EXP(-I$5*B33)</f>
        <v/>
      </c>
      <c r="J33" s="47">
        <f>EXP(-J$5*C33)-EXP(-J$5*B33)</f>
        <v/>
      </c>
      <c r="K33" s="47">
        <f>EXP(-K$5*C33)-EXP(-K$5*B33)</f>
        <v/>
      </c>
    </row>
    <row r="34">
      <c r="A34">
        <f>LGD_motos!A34</f>
        <v/>
      </c>
      <c r="B34" s="44">
        <f>LGD_motos!X34</f>
        <v/>
      </c>
      <c r="C34" s="44">
        <f>B33</f>
        <v/>
      </c>
      <c r="D34" s="47">
        <f>EXP(-D$5*C34)-EXP(-D$5*B34)</f>
        <v/>
      </c>
      <c r="E34" s="47">
        <f>EXP(-E$5*C34)-EXP(-E$5*B34)</f>
        <v/>
      </c>
      <c r="F34" s="47">
        <f>EXP(-F$5*C34)-EXP(-F$5*B34)</f>
        <v/>
      </c>
      <c r="G34" s="47">
        <f>EXP(-G$5*C34)-EXP(-G$5*B34)</f>
        <v/>
      </c>
      <c r="H34" s="47">
        <f>EXP(-H$5*C34)-EXP(-H$5*B34)</f>
        <v/>
      </c>
      <c r="I34" s="47">
        <f>EXP(-I$5*C34)-EXP(-I$5*B34)</f>
        <v/>
      </c>
      <c r="J34" s="47">
        <f>EXP(-J$5*C34)-EXP(-J$5*B34)</f>
        <v/>
      </c>
      <c r="K34" s="47">
        <f>EXP(-K$5*C34)-EXP(-K$5*B34)</f>
        <v/>
      </c>
    </row>
    <row r="35">
      <c r="A35">
        <f>LGD_motos!A35</f>
        <v/>
      </c>
      <c r="B35" s="44">
        <f>LGD_motos!X35</f>
        <v/>
      </c>
      <c r="C35" s="44">
        <f>B34</f>
        <v/>
      </c>
      <c r="D35" s="47">
        <f>EXP(-D$5*C35)-EXP(-D$5*B35)</f>
        <v/>
      </c>
      <c r="E35" s="47">
        <f>EXP(-E$5*C35)-EXP(-E$5*B35)</f>
        <v/>
      </c>
      <c r="F35" s="47">
        <f>EXP(-F$5*C35)-EXP(-F$5*B35)</f>
        <v/>
      </c>
      <c r="G35" s="47">
        <f>EXP(-G$5*C35)-EXP(-G$5*B35)</f>
        <v/>
      </c>
      <c r="H35" s="47">
        <f>EXP(-H$5*C35)-EXP(-H$5*B35)</f>
        <v/>
      </c>
      <c r="I35" s="47">
        <f>EXP(-I$5*C35)-EXP(-I$5*B35)</f>
        <v/>
      </c>
      <c r="J35" s="47">
        <f>EXP(-J$5*C35)-EXP(-J$5*B35)</f>
        <v/>
      </c>
      <c r="K35" s="47">
        <f>EXP(-K$5*C35)-EXP(-K$5*B35)</f>
        <v/>
      </c>
    </row>
    <row r="36">
      <c r="A36">
        <f>LGD_motos!A36</f>
        <v/>
      </c>
      <c r="B36" s="44">
        <f>LGD_motos!X36</f>
        <v/>
      </c>
      <c r="C36" s="44">
        <f>B35</f>
        <v/>
      </c>
      <c r="D36" s="47">
        <f>EXP(-D$5*C36)-EXP(-D$5*B36)</f>
        <v/>
      </c>
      <c r="E36" s="47">
        <f>EXP(-E$5*C36)-EXP(-E$5*B36)</f>
        <v/>
      </c>
      <c r="F36" s="47">
        <f>EXP(-F$5*C36)-EXP(-F$5*B36)</f>
        <v/>
      </c>
      <c r="G36" s="47">
        <f>EXP(-G$5*C36)-EXP(-G$5*B36)</f>
        <v/>
      </c>
      <c r="H36" s="47">
        <f>EXP(-H$5*C36)-EXP(-H$5*B36)</f>
        <v/>
      </c>
      <c r="I36" s="47">
        <f>EXP(-I$5*C36)-EXP(-I$5*B36)</f>
        <v/>
      </c>
      <c r="J36" s="47">
        <f>EXP(-J$5*C36)-EXP(-J$5*B36)</f>
        <v/>
      </c>
      <c r="K36" s="47">
        <f>EXP(-K$5*C36)-EXP(-K$5*B36)</f>
        <v/>
      </c>
    </row>
    <row r="37">
      <c r="A37">
        <f>LGD_motos!A37</f>
        <v/>
      </c>
      <c r="B37" s="44">
        <f>LGD_motos!X37</f>
        <v/>
      </c>
      <c r="C37" s="44">
        <f>B36</f>
        <v/>
      </c>
      <c r="D37" s="47">
        <f>EXP(-D$5*C37)-EXP(-D$5*B37)</f>
        <v/>
      </c>
      <c r="E37" s="47">
        <f>EXP(-E$5*C37)-EXP(-E$5*B37)</f>
        <v/>
      </c>
      <c r="F37" s="47">
        <f>EXP(-F$5*C37)-EXP(-F$5*B37)</f>
        <v/>
      </c>
      <c r="G37" s="47">
        <f>EXP(-G$5*C37)-EXP(-G$5*B37)</f>
        <v/>
      </c>
      <c r="H37" s="47">
        <f>EXP(-H$5*C37)-EXP(-H$5*B37)</f>
        <v/>
      </c>
      <c r="I37" s="47">
        <f>EXP(-I$5*C37)-EXP(-I$5*B37)</f>
        <v/>
      </c>
      <c r="J37" s="47">
        <f>EXP(-J$5*C37)-EXP(-J$5*B37)</f>
        <v/>
      </c>
      <c r="K37" s="47">
        <f>EXP(-K$5*C37)-EXP(-K$5*B37)</f>
        <v/>
      </c>
    </row>
    <row r="38">
      <c r="A38">
        <f>LGD_motos!A38</f>
        <v/>
      </c>
      <c r="B38" s="44">
        <f>LGD_motos!X38</f>
        <v/>
      </c>
      <c r="C38" s="44">
        <f>B37</f>
        <v/>
      </c>
      <c r="D38" s="47">
        <f>EXP(-D$5*C38)-EXP(-D$5*B38)</f>
        <v/>
      </c>
      <c r="E38" s="47">
        <f>EXP(-E$5*C38)-EXP(-E$5*B38)</f>
        <v/>
      </c>
      <c r="F38" s="47">
        <f>EXP(-F$5*C38)-EXP(-F$5*B38)</f>
        <v/>
      </c>
      <c r="G38" s="47">
        <f>EXP(-G$5*C38)-EXP(-G$5*B38)</f>
        <v/>
      </c>
      <c r="H38" s="47">
        <f>EXP(-H$5*C38)-EXP(-H$5*B38)</f>
        <v/>
      </c>
      <c r="I38" s="47">
        <f>EXP(-I$5*C38)-EXP(-I$5*B38)</f>
        <v/>
      </c>
      <c r="J38" s="47">
        <f>EXP(-J$5*C38)-EXP(-J$5*B38)</f>
        <v/>
      </c>
      <c r="K38" s="47">
        <f>EXP(-K$5*C38)-EXP(-K$5*B38)</f>
        <v/>
      </c>
    </row>
    <row r="39">
      <c r="A39">
        <f>LGD_motos!A39</f>
        <v/>
      </c>
      <c r="B39" s="44">
        <f>LGD_motos!X39</f>
        <v/>
      </c>
      <c r="C39" s="44">
        <f>B38</f>
        <v/>
      </c>
      <c r="D39" s="47">
        <f>EXP(-D$5*C39)-EXP(-D$5*B39)</f>
        <v/>
      </c>
      <c r="E39" s="47">
        <f>EXP(-E$5*C39)-EXP(-E$5*B39)</f>
        <v/>
      </c>
      <c r="F39" s="47">
        <f>EXP(-F$5*C39)-EXP(-F$5*B39)</f>
        <v/>
      </c>
      <c r="G39" s="47">
        <f>EXP(-G$5*C39)-EXP(-G$5*B39)</f>
        <v/>
      </c>
      <c r="H39" s="47">
        <f>EXP(-H$5*C39)-EXP(-H$5*B39)</f>
        <v/>
      </c>
      <c r="I39" s="47">
        <f>EXP(-I$5*C39)-EXP(-I$5*B39)</f>
        <v/>
      </c>
      <c r="J39" s="47">
        <f>EXP(-J$5*C39)-EXP(-J$5*B39)</f>
        <v/>
      </c>
      <c r="K39" s="47">
        <f>EXP(-K$5*C39)-EXP(-K$5*B39)</f>
        <v/>
      </c>
    </row>
    <row r="40">
      <c r="A40">
        <f>LGD_motos!A40</f>
        <v/>
      </c>
      <c r="B40" s="44">
        <f>LGD_motos!X40</f>
        <v/>
      </c>
      <c r="C40" s="44">
        <f>B39</f>
        <v/>
      </c>
      <c r="D40" s="47">
        <f>EXP(-D$5*C40)-EXP(-D$5*B40)</f>
        <v/>
      </c>
      <c r="E40" s="47">
        <f>EXP(-E$5*C40)-EXP(-E$5*B40)</f>
        <v/>
      </c>
      <c r="F40" s="47">
        <f>EXP(-F$5*C40)-EXP(-F$5*B40)</f>
        <v/>
      </c>
      <c r="G40" s="47">
        <f>EXP(-G$5*C40)-EXP(-G$5*B40)</f>
        <v/>
      </c>
      <c r="H40" s="47">
        <f>EXP(-H$5*C40)-EXP(-H$5*B40)</f>
        <v/>
      </c>
      <c r="I40" s="47">
        <f>EXP(-I$5*C40)-EXP(-I$5*B40)</f>
        <v/>
      </c>
      <c r="J40" s="47">
        <f>EXP(-J$5*C40)-EXP(-J$5*B40)</f>
        <v/>
      </c>
      <c r="K40" s="47">
        <f>EXP(-K$5*C40)-EXP(-K$5*B40)</f>
        <v/>
      </c>
    </row>
    <row r="41">
      <c r="A41">
        <f>LGD_motos!A41</f>
        <v/>
      </c>
      <c r="B41" s="44">
        <f>LGD_motos!X41</f>
        <v/>
      </c>
      <c r="C41" s="44">
        <f>B40</f>
        <v/>
      </c>
      <c r="D41" s="47">
        <f>EXP(-D$5*C41)-EXP(-D$5*B41)</f>
        <v/>
      </c>
      <c r="E41" s="47">
        <f>EXP(-E$5*C41)-EXP(-E$5*B41)</f>
        <v/>
      </c>
      <c r="F41" s="47">
        <f>EXP(-F$5*C41)-EXP(-F$5*B41)</f>
        <v/>
      </c>
      <c r="G41" s="47">
        <f>EXP(-G$5*C41)-EXP(-G$5*B41)</f>
        <v/>
      </c>
      <c r="H41" s="47">
        <f>EXP(-H$5*C41)-EXP(-H$5*B41)</f>
        <v/>
      </c>
      <c r="I41" s="47">
        <f>EXP(-I$5*C41)-EXP(-I$5*B41)</f>
        <v/>
      </c>
      <c r="J41" s="47">
        <f>EXP(-J$5*C41)-EXP(-J$5*B41)</f>
        <v/>
      </c>
      <c r="K41" s="47">
        <f>EXP(-K$5*C41)-EXP(-K$5*B41)</f>
        <v/>
      </c>
    </row>
    <row r="42">
      <c r="A42">
        <f>LGD_motos!A42</f>
        <v/>
      </c>
      <c r="B42" s="44">
        <f>LGD_motos!X42</f>
        <v/>
      </c>
      <c r="C42" s="44">
        <f>B41</f>
        <v/>
      </c>
      <c r="D42" s="47">
        <f>EXP(-D$5*C42)-EXP(-D$5*B42)</f>
        <v/>
      </c>
      <c r="E42" s="47">
        <f>EXP(-E$5*C42)-EXP(-E$5*B42)</f>
        <v/>
      </c>
      <c r="F42" s="47">
        <f>EXP(-F$5*C42)-EXP(-F$5*B42)</f>
        <v/>
      </c>
      <c r="G42" s="47">
        <f>EXP(-G$5*C42)-EXP(-G$5*B42)</f>
        <v/>
      </c>
      <c r="H42" s="47">
        <f>EXP(-H$5*C42)-EXP(-H$5*B42)</f>
        <v/>
      </c>
      <c r="I42" s="47">
        <f>EXP(-I$5*C42)-EXP(-I$5*B42)</f>
        <v/>
      </c>
      <c r="J42" s="47">
        <f>EXP(-J$5*C42)-EXP(-J$5*B42)</f>
        <v/>
      </c>
      <c r="K42" s="47">
        <f>EXP(-K$5*C42)-EXP(-K$5*B42)</f>
        <v/>
      </c>
    </row>
    <row r="43">
      <c r="A43">
        <f>LGD_motos!A43</f>
        <v/>
      </c>
      <c r="B43" s="44">
        <f>LGD_motos!X43</f>
        <v/>
      </c>
      <c r="C43" s="44">
        <f>B42</f>
        <v/>
      </c>
      <c r="D43" s="47">
        <f>EXP(-D$5*C43)-EXP(-D$5*B43)</f>
        <v/>
      </c>
      <c r="E43" s="47">
        <f>EXP(-E$5*C43)-EXP(-E$5*B43)</f>
        <v/>
      </c>
      <c r="F43" s="47">
        <f>EXP(-F$5*C43)-EXP(-F$5*B43)</f>
        <v/>
      </c>
      <c r="G43" s="47">
        <f>EXP(-G$5*C43)-EXP(-G$5*B43)</f>
        <v/>
      </c>
      <c r="H43" s="47">
        <f>EXP(-H$5*C43)-EXP(-H$5*B43)</f>
        <v/>
      </c>
      <c r="I43" s="47">
        <f>EXP(-I$5*C43)-EXP(-I$5*B43)</f>
        <v/>
      </c>
      <c r="J43" s="47">
        <f>EXP(-J$5*C43)-EXP(-J$5*B43)</f>
        <v/>
      </c>
      <c r="K43" s="47">
        <f>EXP(-K$5*C43)-EXP(-K$5*B43)</f>
        <v/>
      </c>
    </row>
    <row r="44">
      <c r="A44">
        <f>LGD_motos!A44</f>
        <v/>
      </c>
      <c r="B44" s="44">
        <f>LGD_motos!X44</f>
        <v/>
      </c>
      <c r="C44" s="44">
        <f>B43</f>
        <v/>
      </c>
      <c r="D44" s="47">
        <f>EXP(-D$5*C44)-EXP(-D$5*B44)</f>
        <v/>
      </c>
      <c r="E44" s="47">
        <f>EXP(-E$5*C44)-EXP(-E$5*B44)</f>
        <v/>
      </c>
      <c r="F44" s="47">
        <f>EXP(-F$5*C44)-EXP(-F$5*B44)</f>
        <v/>
      </c>
      <c r="G44" s="47">
        <f>EXP(-G$5*C44)-EXP(-G$5*B44)</f>
        <v/>
      </c>
      <c r="H44" s="47">
        <f>EXP(-H$5*C44)-EXP(-H$5*B44)</f>
        <v/>
      </c>
      <c r="I44" s="47">
        <f>EXP(-I$5*C44)-EXP(-I$5*B44)</f>
        <v/>
      </c>
      <c r="J44" s="47">
        <f>EXP(-J$5*C44)-EXP(-J$5*B44)</f>
        <v/>
      </c>
      <c r="K44" s="47">
        <f>EXP(-K$5*C44)-EXP(-K$5*B44)</f>
        <v/>
      </c>
    </row>
    <row r="45">
      <c r="A45">
        <f>LGD_motos!A45</f>
        <v/>
      </c>
      <c r="B45" s="44">
        <f>LGD_motos!X45</f>
        <v/>
      </c>
      <c r="C45" s="44">
        <f>B44</f>
        <v/>
      </c>
      <c r="D45" s="47">
        <f>EXP(-D$5*C45)-EXP(-D$5*B45)</f>
        <v/>
      </c>
      <c r="E45" s="47">
        <f>EXP(-E$5*C45)-EXP(-E$5*B45)</f>
        <v/>
      </c>
      <c r="F45" s="47">
        <f>EXP(-F$5*C45)-EXP(-F$5*B45)</f>
        <v/>
      </c>
      <c r="G45" s="47">
        <f>EXP(-G$5*C45)-EXP(-G$5*B45)</f>
        <v/>
      </c>
      <c r="H45" s="47">
        <f>EXP(-H$5*C45)-EXP(-H$5*B45)</f>
        <v/>
      </c>
      <c r="I45" s="47">
        <f>EXP(-I$5*C45)-EXP(-I$5*B45)</f>
        <v/>
      </c>
      <c r="J45" s="47">
        <f>EXP(-J$5*C45)-EXP(-J$5*B45)</f>
        <v/>
      </c>
      <c r="K45" s="47">
        <f>EXP(-K$5*C45)-EXP(-K$5*B45)</f>
        <v/>
      </c>
    </row>
    <row r="46">
      <c r="A46">
        <f>LGD_motos!A46</f>
        <v/>
      </c>
      <c r="B46" s="44">
        <f>LGD_motos!X46</f>
        <v/>
      </c>
      <c r="C46" s="44">
        <f>B45</f>
        <v/>
      </c>
      <c r="D46" s="47">
        <f>EXP(-D$5*C46)-EXP(-D$5*B46)</f>
        <v/>
      </c>
      <c r="E46" s="47">
        <f>EXP(-E$5*C46)-EXP(-E$5*B46)</f>
        <v/>
      </c>
      <c r="F46" s="47">
        <f>EXP(-F$5*C46)-EXP(-F$5*B46)</f>
        <v/>
      </c>
      <c r="G46" s="47">
        <f>EXP(-G$5*C46)-EXP(-G$5*B46)</f>
        <v/>
      </c>
      <c r="H46" s="47">
        <f>EXP(-H$5*C46)-EXP(-H$5*B46)</f>
        <v/>
      </c>
      <c r="I46" s="47">
        <f>EXP(-I$5*C46)-EXP(-I$5*B46)</f>
        <v/>
      </c>
      <c r="J46" s="47">
        <f>EXP(-J$5*C46)-EXP(-J$5*B46)</f>
        <v/>
      </c>
      <c r="K46" s="47">
        <f>EXP(-K$5*C46)-EXP(-K$5*B46)</f>
        <v/>
      </c>
    </row>
    <row r="47">
      <c r="A47">
        <f>LGD_motos!A47</f>
        <v/>
      </c>
      <c r="B47" s="44">
        <f>LGD_motos!X47</f>
        <v/>
      </c>
      <c r="C47" s="44">
        <f>B46</f>
        <v/>
      </c>
      <c r="D47" s="47">
        <f>EXP(-D$5*C47)-EXP(-D$5*B47)</f>
        <v/>
      </c>
      <c r="E47" s="47">
        <f>EXP(-E$5*C47)-EXP(-E$5*B47)</f>
        <v/>
      </c>
      <c r="F47" s="47">
        <f>EXP(-F$5*C47)-EXP(-F$5*B47)</f>
        <v/>
      </c>
      <c r="G47" s="47">
        <f>EXP(-G$5*C47)-EXP(-G$5*B47)</f>
        <v/>
      </c>
      <c r="H47" s="47">
        <f>EXP(-H$5*C47)-EXP(-H$5*B47)</f>
        <v/>
      </c>
      <c r="I47" s="47">
        <f>EXP(-I$5*C47)-EXP(-I$5*B47)</f>
        <v/>
      </c>
      <c r="J47" s="47">
        <f>EXP(-J$5*C47)-EXP(-J$5*B47)</f>
        <v/>
      </c>
      <c r="K47" s="47">
        <f>EXP(-K$5*C47)-EXP(-K$5*B47)</f>
        <v/>
      </c>
    </row>
    <row r="48">
      <c r="A48">
        <f>LGD_motos!A48</f>
        <v/>
      </c>
      <c r="B48" s="44">
        <f>LGD_motos!X48</f>
        <v/>
      </c>
      <c r="C48" s="44">
        <f>B47</f>
        <v/>
      </c>
      <c r="D48" s="47">
        <f>EXP(-D$5*C48)-EXP(-D$5*B48)</f>
        <v/>
      </c>
      <c r="E48" s="47">
        <f>EXP(-E$5*C48)-EXP(-E$5*B48)</f>
        <v/>
      </c>
      <c r="F48" s="47">
        <f>EXP(-F$5*C48)-EXP(-F$5*B48)</f>
        <v/>
      </c>
      <c r="G48" s="47">
        <f>EXP(-G$5*C48)-EXP(-G$5*B48)</f>
        <v/>
      </c>
      <c r="H48" s="47">
        <f>EXP(-H$5*C48)-EXP(-H$5*B48)</f>
        <v/>
      </c>
      <c r="I48" s="47">
        <f>EXP(-I$5*C48)-EXP(-I$5*B48)</f>
        <v/>
      </c>
      <c r="J48" s="47">
        <f>EXP(-J$5*C48)-EXP(-J$5*B48)</f>
        <v/>
      </c>
      <c r="K48" s="47">
        <f>EXP(-K$5*C48)-EXP(-K$5*B48)</f>
        <v/>
      </c>
    </row>
    <row r="49">
      <c r="A49">
        <f>LGD_motos!A49</f>
        <v/>
      </c>
      <c r="B49" s="44">
        <f>LGD_motos!X49</f>
        <v/>
      </c>
      <c r="C49" s="44">
        <f>B48</f>
        <v/>
      </c>
      <c r="D49" s="47">
        <f>EXP(-D$5*C49)-EXP(-D$5*B49)</f>
        <v/>
      </c>
      <c r="E49" s="47">
        <f>EXP(-E$5*C49)-EXP(-E$5*B49)</f>
        <v/>
      </c>
      <c r="F49" s="47">
        <f>EXP(-F$5*C49)-EXP(-F$5*B49)</f>
        <v/>
      </c>
      <c r="G49" s="47">
        <f>EXP(-G$5*C49)-EXP(-G$5*B49)</f>
        <v/>
      </c>
      <c r="H49" s="47">
        <f>EXP(-H$5*C49)-EXP(-H$5*B49)</f>
        <v/>
      </c>
      <c r="I49" s="47">
        <f>EXP(-I$5*C49)-EXP(-I$5*B49)</f>
        <v/>
      </c>
      <c r="J49" s="47">
        <f>EXP(-J$5*C49)-EXP(-J$5*B49)</f>
        <v/>
      </c>
      <c r="K49" s="47">
        <f>EXP(-K$5*C49)-EXP(-K$5*B49)</f>
        <v/>
      </c>
    </row>
    <row r="50">
      <c r="A50">
        <f>LGD_motos!A50</f>
        <v/>
      </c>
      <c r="B50" s="44">
        <f>LGD_motos!X50</f>
        <v/>
      </c>
      <c r="C50" s="44">
        <f>B49</f>
        <v/>
      </c>
      <c r="D50" s="47">
        <f>EXP(-D$5*C50)-EXP(-D$5*B50)</f>
        <v/>
      </c>
      <c r="E50" s="47">
        <f>EXP(-E$5*C50)-EXP(-E$5*B50)</f>
        <v/>
      </c>
      <c r="F50" s="47">
        <f>EXP(-F$5*C50)-EXP(-F$5*B50)</f>
        <v/>
      </c>
      <c r="G50" s="47">
        <f>EXP(-G$5*C50)-EXP(-G$5*B50)</f>
        <v/>
      </c>
      <c r="H50" s="47">
        <f>EXP(-H$5*C50)-EXP(-H$5*B50)</f>
        <v/>
      </c>
      <c r="I50" s="47">
        <f>EXP(-I$5*C50)-EXP(-I$5*B50)</f>
        <v/>
      </c>
      <c r="J50" s="47">
        <f>EXP(-J$5*C50)-EXP(-J$5*B50)</f>
        <v/>
      </c>
      <c r="K50" s="47">
        <f>EXP(-K$5*C50)-EXP(-K$5*B50)</f>
        <v/>
      </c>
    </row>
    <row r="51">
      <c r="A51">
        <f>LGD_motos!A51</f>
        <v/>
      </c>
      <c r="B51" s="44">
        <f>LGD_motos!X51</f>
        <v/>
      </c>
      <c r="C51" s="44">
        <f>B50</f>
        <v/>
      </c>
      <c r="D51" s="47">
        <f>EXP(-D$5*C51)-EXP(-D$5*B51)</f>
        <v/>
      </c>
      <c r="E51" s="47">
        <f>EXP(-E$5*C51)-EXP(-E$5*B51)</f>
        <v/>
      </c>
      <c r="F51" s="47">
        <f>EXP(-F$5*C51)-EXP(-F$5*B51)</f>
        <v/>
      </c>
      <c r="G51" s="47">
        <f>EXP(-G$5*C51)-EXP(-G$5*B51)</f>
        <v/>
      </c>
      <c r="H51" s="47">
        <f>EXP(-H$5*C51)-EXP(-H$5*B51)</f>
        <v/>
      </c>
      <c r="I51" s="47">
        <f>EXP(-I$5*C51)-EXP(-I$5*B51)</f>
        <v/>
      </c>
      <c r="J51" s="47">
        <f>EXP(-J$5*C51)-EXP(-J$5*B51)</f>
        <v/>
      </c>
      <c r="K51" s="47">
        <f>EXP(-K$5*C51)-EXP(-K$5*B51)</f>
        <v/>
      </c>
    </row>
    <row r="52">
      <c r="A52">
        <f>LGD_motos!A52</f>
        <v/>
      </c>
      <c r="B52" s="44">
        <f>LGD_motos!X52</f>
        <v/>
      </c>
      <c r="C52" s="44">
        <f>B51</f>
        <v/>
      </c>
      <c r="D52" s="47">
        <f>EXP(-D$5*C52)-EXP(-D$5*B52)</f>
        <v/>
      </c>
      <c r="E52" s="47">
        <f>EXP(-E$5*C52)-EXP(-E$5*B52)</f>
        <v/>
      </c>
      <c r="F52" s="47">
        <f>EXP(-F$5*C52)-EXP(-F$5*B52)</f>
        <v/>
      </c>
      <c r="G52" s="47">
        <f>EXP(-G$5*C52)-EXP(-G$5*B52)</f>
        <v/>
      </c>
      <c r="H52" s="47">
        <f>EXP(-H$5*C52)-EXP(-H$5*B52)</f>
        <v/>
      </c>
      <c r="I52" s="47">
        <f>EXP(-I$5*C52)-EXP(-I$5*B52)</f>
        <v/>
      </c>
      <c r="J52" s="47">
        <f>EXP(-J$5*C52)-EXP(-J$5*B52)</f>
        <v/>
      </c>
      <c r="K52" s="47">
        <f>EXP(-K$5*C52)-EXP(-K$5*B52)</f>
        <v/>
      </c>
    </row>
    <row r="53">
      <c r="A53">
        <f>LGD_motos!A53</f>
        <v/>
      </c>
      <c r="B53" s="44">
        <f>LGD_motos!X53</f>
        <v/>
      </c>
      <c r="C53" s="44">
        <f>B52</f>
        <v/>
      </c>
      <c r="D53" s="47">
        <f>EXP(-D$5*C53)-EXP(-D$5*B53)</f>
        <v/>
      </c>
      <c r="E53" s="47">
        <f>EXP(-E$5*C53)-EXP(-E$5*B53)</f>
        <v/>
      </c>
      <c r="F53" s="47">
        <f>EXP(-F$5*C53)-EXP(-F$5*B53)</f>
        <v/>
      </c>
      <c r="G53" s="47">
        <f>EXP(-G$5*C53)-EXP(-G$5*B53)</f>
        <v/>
      </c>
      <c r="H53" s="47">
        <f>EXP(-H$5*C53)-EXP(-H$5*B53)</f>
        <v/>
      </c>
      <c r="I53" s="47">
        <f>EXP(-I$5*C53)-EXP(-I$5*B53)</f>
        <v/>
      </c>
      <c r="J53" s="47">
        <f>EXP(-J$5*C53)-EXP(-J$5*B53)</f>
        <v/>
      </c>
      <c r="K53" s="47">
        <f>EXP(-K$5*C53)-EXP(-K$5*B53)</f>
        <v/>
      </c>
    </row>
    <row r="54">
      <c r="A54">
        <f>LGD_motos!A54</f>
        <v/>
      </c>
      <c r="B54" s="44">
        <f>LGD_motos!X54</f>
        <v/>
      </c>
      <c r="C54" s="44">
        <f>B53</f>
        <v/>
      </c>
      <c r="D54" s="47">
        <f>EXP(-D$5*C54)-EXP(-D$5*B54)</f>
        <v/>
      </c>
      <c r="E54" s="47">
        <f>EXP(-E$5*C54)-EXP(-E$5*B54)</f>
        <v/>
      </c>
      <c r="F54" s="47">
        <f>EXP(-F$5*C54)-EXP(-F$5*B54)</f>
        <v/>
      </c>
      <c r="G54" s="47">
        <f>EXP(-G$5*C54)-EXP(-G$5*B54)</f>
        <v/>
      </c>
      <c r="H54" s="47">
        <f>EXP(-H$5*C54)-EXP(-H$5*B54)</f>
        <v/>
      </c>
      <c r="I54" s="47">
        <f>EXP(-I$5*C54)-EXP(-I$5*B54)</f>
        <v/>
      </c>
      <c r="J54" s="47">
        <f>EXP(-J$5*C54)-EXP(-J$5*B54)</f>
        <v/>
      </c>
      <c r="K54" s="47">
        <f>EXP(-K$5*C54)-EXP(-K$5*B54)</f>
        <v/>
      </c>
    </row>
    <row r="55">
      <c r="A55">
        <f>LGD_motos!A55</f>
        <v/>
      </c>
      <c r="B55" s="44">
        <f>LGD_motos!X55</f>
        <v/>
      </c>
      <c r="C55" s="44">
        <f>B54</f>
        <v/>
      </c>
      <c r="D55" s="47">
        <f>EXP(-D$5*C55)-EXP(-D$5*B55)</f>
        <v/>
      </c>
      <c r="E55" s="47">
        <f>EXP(-E$5*C55)-EXP(-E$5*B55)</f>
        <v/>
      </c>
      <c r="F55" s="47">
        <f>EXP(-F$5*C55)-EXP(-F$5*B55)</f>
        <v/>
      </c>
      <c r="G55" s="47">
        <f>EXP(-G$5*C55)-EXP(-G$5*B55)</f>
        <v/>
      </c>
      <c r="H55" s="47">
        <f>EXP(-H$5*C55)-EXP(-H$5*B55)</f>
        <v/>
      </c>
      <c r="I55" s="47">
        <f>EXP(-I$5*C55)-EXP(-I$5*B55)</f>
        <v/>
      </c>
      <c r="J55" s="47">
        <f>EXP(-J$5*C55)-EXP(-J$5*B55)</f>
        <v/>
      </c>
      <c r="K55" s="47">
        <f>EXP(-K$5*C55)-EXP(-K$5*B55)</f>
        <v/>
      </c>
    </row>
    <row r="56">
      <c r="A56">
        <f>LGD_motos!A56</f>
        <v/>
      </c>
      <c r="B56" s="44">
        <f>LGD_motos!X56</f>
        <v/>
      </c>
      <c r="C56" s="44">
        <f>B55</f>
        <v/>
      </c>
      <c r="D56" s="47">
        <f>EXP(-D$5*C56)-EXP(-D$5*B56)</f>
        <v/>
      </c>
      <c r="E56" s="47">
        <f>EXP(-E$5*C56)-EXP(-E$5*B56)</f>
        <v/>
      </c>
      <c r="F56" s="47">
        <f>EXP(-F$5*C56)-EXP(-F$5*B56)</f>
        <v/>
      </c>
      <c r="G56" s="47">
        <f>EXP(-G$5*C56)-EXP(-G$5*B56)</f>
        <v/>
      </c>
      <c r="H56" s="47">
        <f>EXP(-H$5*C56)-EXP(-H$5*B56)</f>
        <v/>
      </c>
      <c r="I56" s="47">
        <f>EXP(-I$5*C56)-EXP(-I$5*B56)</f>
        <v/>
      </c>
      <c r="J56" s="47">
        <f>EXP(-J$5*C56)-EXP(-J$5*B56)</f>
        <v/>
      </c>
      <c r="K56" s="47">
        <f>EXP(-K$5*C56)-EXP(-K$5*B56)</f>
        <v/>
      </c>
    </row>
    <row r="57">
      <c r="A57">
        <f>LGD_motos!A57</f>
        <v/>
      </c>
      <c r="B57" s="44">
        <f>LGD_motos!X57</f>
        <v/>
      </c>
      <c r="C57" s="44">
        <f>B56</f>
        <v/>
      </c>
      <c r="D57" s="47">
        <f>EXP(-D$5*C57)-EXP(-D$5*B57)</f>
        <v/>
      </c>
      <c r="E57" s="47">
        <f>EXP(-E$5*C57)-EXP(-E$5*B57)</f>
        <v/>
      </c>
      <c r="F57" s="47">
        <f>EXP(-F$5*C57)-EXP(-F$5*B57)</f>
        <v/>
      </c>
      <c r="G57" s="47">
        <f>EXP(-G$5*C57)-EXP(-G$5*B57)</f>
        <v/>
      </c>
      <c r="H57" s="47">
        <f>EXP(-H$5*C57)-EXP(-H$5*B57)</f>
        <v/>
      </c>
      <c r="I57" s="47">
        <f>EXP(-I$5*C57)-EXP(-I$5*B57)</f>
        <v/>
      </c>
      <c r="J57" s="47">
        <f>EXP(-J$5*C57)-EXP(-J$5*B57)</f>
        <v/>
      </c>
      <c r="K57" s="47">
        <f>EXP(-K$5*C57)-EXP(-K$5*B57)</f>
        <v/>
      </c>
    </row>
    <row r="58">
      <c r="A58">
        <f>LGD_motos!A58</f>
        <v/>
      </c>
      <c r="B58" s="44">
        <f>LGD_motos!X58</f>
        <v/>
      </c>
      <c r="C58" s="44">
        <f>B57</f>
        <v/>
      </c>
      <c r="D58" s="47">
        <f>EXP(-D$5*C58)-EXP(-D$5*B58)</f>
        <v/>
      </c>
      <c r="E58" s="47">
        <f>EXP(-E$5*C58)-EXP(-E$5*B58)</f>
        <v/>
      </c>
      <c r="F58" s="47">
        <f>EXP(-F$5*C58)-EXP(-F$5*B58)</f>
        <v/>
      </c>
      <c r="G58" s="47">
        <f>EXP(-G$5*C58)-EXP(-G$5*B58)</f>
        <v/>
      </c>
      <c r="H58" s="47">
        <f>EXP(-H$5*C58)-EXP(-H$5*B58)</f>
        <v/>
      </c>
      <c r="I58" s="47">
        <f>EXP(-I$5*C58)-EXP(-I$5*B58)</f>
        <v/>
      </c>
      <c r="J58" s="47">
        <f>EXP(-J$5*C58)-EXP(-J$5*B58)</f>
        <v/>
      </c>
      <c r="K58" s="47">
        <f>EXP(-K$5*C58)-EXP(-K$5*B58)</f>
        <v/>
      </c>
    </row>
    <row r="59">
      <c r="A59">
        <f>LGD_motos!A59</f>
        <v/>
      </c>
      <c r="B59" s="44">
        <f>LGD_motos!X59</f>
        <v/>
      </c>
      <c r="C59" s="44">
        <f>B58</f>
        <v/>
      </c>
      <c r="D59" s="47">
        <f>EXP(-D$5*C59)-EXP(-D$5*B59)</f>
        <v/>
      </c>
      <c r="E59" s="47">
        <f>EXP(-E$5*C59)-EXP(-E$5*B59)</f>
        <v/>
      </c>
      <c r="F59" s="47">
        <f>EXP(-F$5*C59)-EXP(-F$5*B59)</f>
        <v/>
      </c>
      <c r="G59" s="47">
        <f>EXP(-G$5*C59)-EXP(-G$5*B59)</f>
        <v/>
      </c>
      <c r="H59" s="47">
        <f>EXP(-H$5*C59)-EXP(-H$5*B59)</f>
        <v/>
      </c>
      <c r="I59" s="47">
        <f>EXP(-I$5*C59)-EXP(-I$5*B59)</f>
        <v/>
      </c>
      <c r="J59" s="47">
        <f>EXP(-J$5*C59)-EXP(-J$5*B59)</f>
        <v/>
      </c>
      <c r="K59" s="47">
        <f>EXP(-K$5*C59)-EXP(-K$5*B59)</f>
        <v/>
      </c>
    </row>
    <row r="60">
      <c r="A60">
        <f>LGD_motos!A60</f>
        <v/>
      </c>
      <c r="B60" s="44">
        <f>LGD_motos!X60</f>
        <v/>
      </c>
      <c r="C60" s="44">
        <f>B59</f>
        <v/>
      </c>
      <c r="D60" s="47">
        <f>EXP(-D$5*C60)-EXP(-D$5*B60)</f>
        <v/>
      </c>
      <c r="E60" s="47">
        <f>EXP(-E$5*C60)-EXP(-E$5*B60)</f>
        <v/>
      </c>
      <c r="F60" s="47">
        <f>EXP(-F$5*C60)-EXP(-F$5*B60)</f>
        <v/>
      </c>
      <c r="G60" s="47">
        <f>EXP(-G$5*C60)-EXP(-G$5*B60)</f>
        <v/>
      </c>
      <c r="H60" s="47">
        <f>EXP(-H$5*C60)-EXP(-H$5*B60)</f>
        <v/>
      </c>
      <c r="I60" s="47">
        <f>EXP(-I$5*C60)-EXP(-I$5*B60)</f>
        <v/>
      </c>
      <c r="J60" s="47">
        <f>EXP(-J$5*C60)-EXP(-J$5*B60)</f>
        <v/>
      </c>
      <c r="K60" s="47">
        <f>EXP(-K$5*C60)-EXP(-K$5*B60)</f>
        <v/>
      </c>
    </row>
    <row r="61">
      <c r="A61">
        <f>LGD_motos!A61</f>
        <v/>
      </c>
      <c r="B61" s="44">
        <f>LGD_motos!X61</f>
        <v/>
      </c>
      <c r="C61" s="44">
        <f>B60</f>
        <v/>
      </c>
      <c r="D61" s="47">
        <f>EXP(-D$5*C61)-EXP(-D$5*B61)</f>
        <v/>
      </c>
      <c r="E61" s="47">
        <f>EXP(-E$5*C61)-EXP(-E$5*B61)</f>
        <v/>
      </c>
      <c r="F61" s="47">
        <f>EXP(-F$5*C61)-EXP(-F$5*B61)</f>
        <v/>
      </c>
      <c r="G61" s="47">
        <f>EXP(-G$5*C61)-EXP(-G$5*B61)</f>
        <v/>
      </c>
      <c r="H61" s="47">
        <f>EXP(-H$5*C61)-EXP(-H$5*B61)</f>
        <v/>
      </c>
      <c r="I61" s="47">
        <f>EXP(-I$5*C61)-EXP(-I$5*B61)</f>
        <v/>
      </c>
      <c r="J61" s="47">
        <f>EXP(-J$5*C61)-EXP(-J$5*B61)</f>
        <v/>
      </c>
      <c r="K61" s="47">
        <f>EXP(-K$5*C61)-EXP(-K$5*B61)</f>
        <v/>
      </c>
    </row>
    <row r="62">
      <c r="A62">
        <f>LGD_motos!A62</f>
        <v/>
      </c>
      <c r="B62" s="44">
        <f>LGD_motos!X62</f>
        <v/>
      </c>
      <c r="C62" s="44">
        <f>B61</f>
        <v/>
      </c>
      <c r="D62" s="47">
        <f>EXP(-D$5*C62)-EXP(-D$5*B62)</f>
        <v/>
      </c>
      <c r="E62" s="47">
        <f>EXP(-E$5*C62)-EXP(-E$5*B62)</f>
        <v/>
      </c>
      <c r="F62" s="47">
        <f>EXP(-F$5*C62)-EXP(-F$5*B62)</f>
        <v/>
      </c>
      <c r="G62" s="47">
        <f>EXP(-G$5*C62)-EXP(-G$5*B62)</f>
        <v/>
      </c>
      <c r="H62" s="47">
        <f>EXP(-H$5*C62)-EXP(-H$5*B62)</f>
        <v/>
      </c>
      <c r="I62" s="47">
        <f>EXP(-I$5*C62)-EXP(-I$5*B62)</f>
        <v/>
      </c>
      <c r="J62" s="47">
        <f>EXP(-J$5*C62)-EXP(-J$5*B62)</f>
        <v/>
      </c>
      <c r="K62" s="47">
        <f>EXP(-K$5*C62)-EXP(-K$5*B62)</f>
        <v/>
      </c>
    </row>
    <row r="63">
      <c r="A63">
        <f>LGD_motos!A63</f>
        <v/>
      </c>
      <c r="B63" s="44">
        <f>LGD_motos!X63</f>
        <v/>
      </c>
      <c r="C63" s="44">
        <f>B62</f>
        <v/>
      </c>
      <c r="D63" s="47">
        <f>EXP(-D$5*C63)-EXP(-D$5*B63)</f>
        <v/>
      </c>
      <c r="E63" s="47">
        <f>EXP(-E$5*C63)-EXP(-E$5*B63)</f>
        <v/>
      </c>
      <c r="F63" s="47">
        <f>EXP(-F$5*C63)-EXP(-F$5*B63)</f>
        <v/>
      </c>
      <c r="G63" s="47">
        <f>EXP(-G$5*C63)-EXP(-G$5*B63)</f>
        <v/>
      </c>
      <c r="H63" s="47">
        <f>EXP(-H$5*C63)-EXP(-H$5*B63)</f>
        <v/>
      </c>
      <c r="I63" s="47">
        <f>EXP(-I$5*C63)-EXP(-I$5*B63)</f>
        <v/>
      </c>
      <c r="J63" s="47">
        <f>EXP(-J$5*C63)-EXP(-J$5*B63)</f>
        <v/>
      </c>
      <c r="K63" s="47">
        <f>EXP(-K$5*C63)-EXP(-K$5*B63)</f>
        <v/>
      </c>
    </row>
    <row r="64">
      <c r="A64">
        <f>LGD_motos!A64</f>
        <v/>
      </c>
      <c r="B64" s="44">
        <f>LGD_motos!X64</f>
        <v/>
      </c>
      <c r="C64" s="44">
        <f>B63</f>
        <v/>
      </c>
      <c r="D64" s="47">
        <f>EXP(-D$5*C64)-EXP(-D$5*B64)</f>
        <v/>
      </c>
      <c r="E64" s="47">
        <f>EXP(-E$5*C64)-EXP(-E$5*B64)</f>
        <v/>
      </c>
      <c r="F64" s="47">
        <f>EXP(-F$5*C64)-EXP(-F$5*B64)</f>
        <v/>
      </c>
      <c r="G64" s="47">
        <f>EXP(-G$5*C64)-EXP(-G$5*B64)</f>
        <v/>
      </c>
      <c r="H64" s="47">
        <f>EXP(-H$5*C64)-EXP(-H$5*B64)</f>
        <v/>
      </c>
      <c r="I64" s="47">
        <f>EXP(-I$5*C64)-EXP(-I$5*B64)</f>
        <v/>
      </c>
      <c r="J64" s="47">
        <f>EXP(-J$5*C64)-EXP(-J$5*B64)</f>
        <v/>
      </c>
      <c r="K64" s="47">
        <f>EXP(-K$5*C64)-EXP(-K$5*B64)</f>
        <v/>
      </c>
    </row>
    <row r="65">
      <c r="A65">
        <f>LGD_motos!A65</f>
        <v/>
      </c>
      <c r="B65" s="44">
        <f>LGD_motos!X65</f>
        <v/>
      </c>
      <c r="C65" s="44">
        <f>B64</f>
        <v/>
      </c>
      <c r="D65" s="47">
        <f>EXP(-D$5*C65)-EXP(-D$5*B65)</f>
        <v/>
      </c>
      <c r="E65" s="47">
        <f>EXP(-E$5*C65)-EXP(-E$5*B65)</f>
        <v/>
      </c>
      <c r="F65" s="47">
        <f>EXP(-F$5*C65)-EXP(-F$5*B65)</f>
        <v/>
      </c>
      <c r="G65" s="47">
        <f>EXP(-G$5*C65)-EXP(-G$5*B65)</f>
        <v/>
      </c>
      <c r="H65" s="47">
        <f>EXP(-H$5*C65)-EXP(-H$5*B65)</f>
        <v/>
      </c>
      <c r="I65" s="47">
        <f>EXP(-I$5*C65)-EXP(-I$5*B65)</f>
        <v/>
      </c>
      <c r="J65" s="47">
        <f>EXP(-J$5*C65)-EXP(-J$5*B65)</f>
        <v/>
      </c>
      <c r="K65" s="47">
        <f>EXP(-K$5*C65)-EXP(-K$5*B65)</f>
        <v/>
      </c>
    </row>
    <row r="66">
      <c r="A66">
        <f>LGD_motos!A66</f>
        <v/>
      </c>
      <c r="B66" s="44">
        <f>LGD_motos!X66</f>
        <v/>
      </c>
      <c r="C66" s="44">
        <f>B65</f>
        <v/>
      </c>
      <c r="D66" s="47">
        <f>EXP(-D$5*C66)-EXP(-D$5*B66)</f>
        <v/>
      </c>
      <c r="E66" s="47">
        <f>EXP(-E$5*C66)-EXP(-E$5*B66)</f>
        <v/>
      </c>
      <c r="F66" s="47">
        <f>EXP(-F$5*C66)-EXP(-F$5*B66)</f>
        <v/>
      </c>
      <c r="G66" s="47">
        <f>EXP(-G$5*C66)-EXP(-G$5*B66)</f>
        <v/>
      </c>
      <c r="H66" s="47">
        <f>EXP(-H$5*C66)-EXP(-H$5*B66)</f>
        <v/>
      </c>
      <c r="I66" s="47">
        <f>EXP(-I$5*C66)-EXP(-I$5*B66)</f>
        <v/>
      </c>
      <c r="J66" s="47">
        <f>EXP(-J$5*C66)-EXP(-J$5*B66)</f>
        <v/>
      </c>
      <c r="K66" s="47">
        <f>EXP(-K$5*C66)-EXP(-K$5*B66)</f>
        <v/>
      </c>
    </row>
    <row r="67">
      <c r="A67">
        <f>LGD_motos!A67</f>
        <v/>
      </c>
      <c r="B67" s="44">
        <f>LGD_motos!X67</f>
        <v/>
      </c>
      <c r="C67" s="44">
        <f>B66</f>
        <v/>
      </c>
      <c r="D67" s="47">
        <f>EXP(-D$5*C67)-EXP(-D$5*B67)</f>
        <v/>
      </c>
      <c r="E67" s="47">
        <f>EXP(-E$5*C67)-EXP(-E$5*B67)</f>
        <v/>
      </c>
      <c r="F67" s="47">
        <f>EXP(-F$5*C67)-EXP(-F$5*B67)</f>
        <v/>
      </c>
      <c r="G67" s="47">
        <f>EXP(-G$5*C67)-EXP(-G$5*B67)</f>
        <v/>
      </c>
      <c r="H67" s="47">
        <f>EXP(-H$5*C67)-EXP(-H$5*B67)</f>
        <v/>
      </c>
      <c r="I67" s="47">
        <f>EXP(-I$5*C67)-EXP(-I$5*B67)</f>
        <v/>
      </c>
      <c r="J67" s="47">
        <f>EXP(-J$5*C67)-EXP(-J$5*B67)</f>
        <v/>
      </c>
      <c r="K67" s="47">
        <f>EXP(-K$5*C67)-EXP(-K$5*B67)</f>
        <v/>
      </c>
    </row>
    <row r="68">
      <c r="A68">
        <f>LGD_motos!A68</f>
        <v/>
      </c>
      <c r="B68" s="44">
        <f>LGD_motos!X68</f>
        <v/>
      </c>
      <c r="C68" s="44">
        <f>B67</f>
        <v/>
      </c>
      <c r="D68" s="47">
        <f>EXP(-D$5*C68)-EXP(-D$5*B68)</f>
        <v/>
      </c>
      <c r="E68" s="47">
        <f>EXP(-E$5*C68)-EXP(-E$5*B68)</f>
        <v/>
      </c>
      <c r="F68" s="47">
        <f>EXP(-F$5*C68)-EXP(-F$5*B68)</f>
        <v/>
      </c>
      <c r="G68" s="47">
        <f>EXP(-G$5*C68)-EXP(-G$5*B68)</f>
        <v/>
      </c>
      <c r="H68" s="47">
        <f>EXP(-H$5*C68)-EXP(-H$5*B68)</f>
        <v/>
      </c>
      <c r="I68" s="47">
        <f>EXP(-I$5*C68)-EXP(-I$5*B68)</f>
        <v/>
      </c>
      <c r="J68" s="47">
        <f>EXP(-J$5*C68)-EXP(-J$5*B68)</f>
        <v/>
      </c>
      <c r="K68" s="47">
        <f>EXP(-K$5*C68)-EXP(-K$5*B68)</f>
        <v/>
      </c>
    </row>
    <row r="69">
      <c r="A69">
        <f>LGD_motos!A69</f>
        <v/>
      </c>
      <c r="B69" s="44">
        <f>LGD_motos!X69</f>
        <v/>
      </c>
      <c r="C69" s="44">
        <f>B68</f>
        <v/>
      </c>
      <c r="D69" s="47">
        <f>EXP(-D$5*C69)-EXP(-D$5*B69)</f>
        <v/>
      </c>
      <c r="E69" s="47">
        <f>EXP(-E$5*C69)-EXP(-E$5*B69)</f>
        <v/>
      </c>
      <c r="F69" s="47">
        <f>EXP(-F$5*C69)-EXP(-F$5*B69)</f>
        <v/>
      </c>
      <c r="G69" s="47">
        <f>EXP(-G$5*C69)-EXP(-G$5*B69)</f>
        <v/>
      </c>
      <c r="H69" s="47">
        <f>EXP(-H$5*C69)-EXP(-H$5*B69)</f>
        <v/>
      </c>
      <c r="I69" s="47">
        <f>EXP(-I$5*C69)-EXP(-I$5*B69)</f>
        <v/>
      </c>
      <c r="J69" s="47">
        <f>EXP(-J$5*C69)-EXP(-J$5*B69)</f>
        <v/>
      </c>
      <c r="K69" s="47">
        <f>EXP(-K$5*C69)-EXP(-K$5*B69)</f>
        <v/>
      </c>
    </row>
    <row r="70">
      <c r="A70">
        <f>LGD_motos!A70</f>
        <v/>
      </c>
      <c r="B70" s="44">
        <f>LGD_motos!X70</f>
        <v/>
      </c>
      <c r="C70" s="44">
        <f>B69</f>
        <v/>
      </c>
      <c r="D70" s="47">
        <f>EXP(-D$5*C70)-EXP(-D$5*B70)</f>
        <v/>
      </c>
      <c r="E70" s="47">
        <f>EXP(-E$5*C70)-EXP(-E$5*B70)</f>
        <v/>
      </c>
      <c r="F70" s="47">
        <f>EXP(-F$5*C70)-EXP(-F$5*B70)</f>
        <v/>
      </c>
      <c r="G70" s="47">
        <f>EXP(-G$5*C70)-EXP(-G$5*B70)</f>
        <v/>
      </c>
      <c r="H70" s="47">
        <f>EXP(-H$5*C70)-EXP(-H$5*B70)</f>
        <v/>
      </c>
      <c r="I70" s="47">
        <f>EXP(-I$5*C70)-EXP(-I$5*B70)</f>
        <v/>
      </c>
      <c r="J70" s="47">
        <f>EXP(-J$5*C70)-EXP(-J$5*B70)</f>
        <v/>
      </c>
      <c r="K70" s="47">
        <f>EXP(-K$5*C70)-EXP(-K$5*B70)</f>
        <v/>
      </c>
    </row>
    <row r="71">
      <c r="A71">
        <f>LGD_motos!A71</f>
        <v/>
      </c>
      <c r="B71" s="44">
        <f>LGD_motos!X71</f>
        <v/>
      </c>
      <c r="C71" s="44">
        <f>B70</f>
        <v/>
      </c>
      <c r="D71" s="47">
        <f>EXP(-D$5*C71)-EXP(-D$5*B71)</f>
        <v/>
      </c>
      <c r="E71" s="47">
        <f>EXP(-E$5*C71)-EXP(-E$5*B71)</f>
        <v/>
      </c>
      <c r="F71" s="47">
        <f>EXP(-F$5*C71)-EXP(-F$5*B71)</f>
        <v/>
      </c>
      <c r="G71" s="47">
        <f>EXP(-G$5*C71)-EXP(-G$5*B71)</f>
        <v/>
      </c>
      <c r="H71" s="47">
        <f>EXP(-H$5*C71)-EXP(-H$5*B71)</f>
        <v/>
      </c>
      <c r="I71" s="47">
        <f>EXP(-I$5*C71)-EXP(-I$5*B71)</f>
        <v/>
      </c>
      <c r="J71" s="47">
        <f>EXP(-J$5*C71)-EXP(-J$5*B71)</f>
        <v/>
      </c>
      <c r="K71" s="47">
        <f>EXP(-K$5*C71)-EXP(-K$5*B71)</f>
        <v/>
      </c>
    </row>
    <row r="72">
      <c r="A72">
        <f>LGD_motos!A72</f>
        <v/>
      </c>
      <c r="B72" s="44">
        <f>LGD_motos!X72</f>
        <v/>
      </c>
      <c r="C72" s="44">
        <f>B71</f>
        <v/>
      </c>
      <c r="D72" s="47">
        <f>EXP(-D$5*C72)-EXP(-D$5*B72)</f>
        <v/>
      </c>
      <c r="E72" s="47">
        <f>EXP(-E$5*C72)-EXP(-E$5*B72)</f>
        <v/>
      </c>
      <c r="F72" s="47">
        <f>EXP(-F$5*C72)-EXP(-F$5*B72)</f>
        <v/>
      </c>
      <c r="G72" s="47">
        <f>EXP(-G$5*C72)-EXP(-G$5*B72)</f>
        <v/>
      </c>
      <c r="H72" s="47">
        <f>EXP(-H$5*C72)-EXP(-H$5*B72)</f>
        <v/>
      </c>
      <c r="I72" s="47">
        <f>EXP(-I$5*C72)-EXP(-I$5*B72)</f>
        <v/>
      </c>
      <c r="J72" s="47">
        <f>EXP(-J$5*C72)-EXP(-J$5*B72)</f>
        <v/>
      </c>
      <c r="K72" s="47">
        <f>EXP(-K$5*C72)-EXP(-K$5*B72)</f>
        <v/>
      </c>
    </row>
    <row r="73">
      <c r="A73">
        <f>LGD_motos!A73</f>
        <v/>
      </c>
      <c r="B73" s="44">
        <f>LGD_motos!X73</f>
        <v/>
      </c>
      <c r="C73" s="44">
        <f>B72</f>
        <v/>
      </c>
      <c r="D73" s="47">
        <f>EXP(-D$5*C73)-EXP(-D$5*B73)</f>
        <v/>
      </c>
      <c r="E73" s="47">
        <f>EXP(-E$5*C73)-EXP(-E$5*B73)</f>
        <v/>
      </c>
      <c r="F73" s="47">
        <f>EXP(-F$5*C73)-EXP(-F$5*B73)</f>
        <v/>
      </c>
      <c r="G73" s="47">
        <f>EXP(-G$5*C73)-EXP(-G$5*B73)</f>
        <v/>
      </c>
      <c r="H73" s="47">
        <f>EXP(-H$5*C73)-EXP(-H$5*B73)</f>
        <v/>
      </c>
      <c r="I73" s="47">
        <f>EXP(-I$5*C73)-EXP(-I$5*B73)</f>
        <v/>
      </c>
      <c r="J73" s="47">
        <f>EXP(-J$5*C73)-EXP(-J$5*B73)</f>
        <v/>
      </c>
      <c r="K73" s="47">
        <f>EXP(-K$5*C73)-EXP(-K$5*B73)</f>
        <v/>
      </c>
    </row>
    <row r="74">
      <c r="A74">
        <f>LGD_motos!A74</f>
        <v/>
      </c>
      <c r="B74" s="44">
        <f>LGD_motos!X74</f>
        <v/>
      </c>
      <c r="C74" s="44">
        <f>B73</f>
        <v/>
      </c>
      <c r="D74" s="47">
        <f>EXP(-D$5*C74)-EXP(-D$5*B74)</f>
        <v/>
      </c>
      <c r="E74" s="47">
        <f>EXP(-E$5*C74)-EXP(-E$5*B74)</f>
        <v/>
      </c>
      <c r="F74" s="47">
        <f>EXP(-F$5*C74)-EXP(-F$5*B74)</f>
        <v/>
      </c>
      <c r="G74" s="47">
        <f>EXP(-G$5*C74)-EXP(-G$5*B74)</f>
        <v/>
      </c>
      <c r="H74" s="47">
        <f>EXP(-H$5*C74)-EXP(-H$5*B74)</f>
        <v/>
      </c>
      <c r="I74" s="47">
        <f>EXP(-I$5*C74)-EXP(-I$5*B74)</f>
        <v/>
      </c>
      <c r="J74" s="47">
        <f>EXP(-J$5*C74)-EXP(-J$5*B74)</f>
        <v/>
      </c>
      <c r="K74" s="47">
        <f>EXP(-K$5*C74)-EXP(-K$5*B74)</f>
        <v/>
      </c>
    </row>
    <row r="75">
      <c r="A75">
        <f>LGD_motos!A75</f>
        <v/>
      </c>
      <c r="B75" s="44">
        <f>LGD_motos!X75</f>
        <v/>
      </c>
      <c r="C75" s="44">
        <f>B74</f>
        <v/>
      </c>
      <c r="D75" s="47">
        <f>EXP(-D$5*C75)-EXP(-D$5*B75)</f>
        <v/>
      </c>
      <c r="E75" s="47">
        <f>EXP(-E$5*C75)-EXP(-E$5*B75)</f>
        <v/>
      </c>
      <c r="F75" s="47">
        <f>EXP(-F$5*C75)-EXP(-F$5*B75)</f>
        <v/>
      </c>
      <c r="G75" s="47">
        <f>EXP(-G$5*C75)-EXP(-G$5*B75)</f>
        <v/>
      </c>
      <c r="H75" s="47">
        <f>EXP(-H$5*C75)-EXP(-H$5*B75)</f>
        <v/>
      </c>
      <c r="I75" s="47">
        <f>EXP(-I$5*C75)-EXP(-I$5*B75)</f>
        <v/>
      </c>
      <c r="J75" s="47">
        <f>EXP(-J$5*C75)-EXP(-J$5*B75)</f>
        <v/>
      </c>
      <c r="K75" s="47">
        <f>EXP(-K$5*C75)-EXP(-K$5*B75)</f>
        <v/>
      </c>
    </row>
    <row r="76">
      <c r="A76">
        <f>LGD_motos!A76</f>
        <v/>
      </c>
      <c r="B76" s="44">
        <f>LGD_motos!X76</f>
        <v/>
      </c>
      <c r="C76" s="44">
        <f>B75</f>
        <v/>
      </c>
      <c r="D76" s="47">
        <f>EXP(-D$5*C76)-EXP(-D$5*B76)</f>
        <v/>
      </c>
      <c r="E76" s="47">
        <f>EXP(-E$5*C76)-EXP(-E$5*B76)</f>
        <v/>
      </c>
      <c r="F76" s="47">
        <f>EXP(-F$5*C76)-EXP(-F$5*B76)</f>
        <v/>
      </c>
      <c r="G76" s="47">
        <f>EXP(-G$5*C76)-EXP(-G$5*B76)</f>
        <v/>
      </c>
      <c r="H76" s="47">
        <f>EXP(-H$5*C76)-EXP(-H$5*B76)</f>
        <v/>
      </c>
      <c r="I76" s="47">
        <f>EXP(-I$5*C76)-EXP(-I$5*B76)</f>
        <v/>
      </c>
      <c r="J76" s="47">
        <f>EXP(-J$5*C76)-EXP(-J$5*B76)</f>
        <v/>
      </c>
      <c r="K76" s="47">
        <f>EXP(-K$5*C76)-EXP(-K$5*B76)</f>
        <v/>
      </c>
    </row>
    <row r="77">
      <c r="A77">
        <f>LGD_motos!A77</f>
        <v/>
      </c>
      <c r="B77" s="44">
        <f>LGD_motos!X77</f>
        <v/>
      </c>
      <c r="C77" s="44">
        <f>B76</f>
        <v/>
      </c>
      <c r="D77" s="47">
        <f>EXP(-D$5*C77)-EXP(-D$5*B77)</f>
        <v/>
      </c>
      <c r="E77" s="47">
        <f>EXP(-E$5*C77)-EXP(-E$5*B77)</f>
        <v/>
      </c>
      <c r="F77" s="47">
        <f>EXP(-F$5*C77)-EXP(-F$5*B77)</f>
        <v/>
      </c>
      <c r="G77" s="47">
        <f>EXP(-G$5*C77)-EXP(-G$5*B77)</f>
        <v/>
      </c>
      <c r="H77" s="47">
        <f>EXP(-H$5*C77)-EXP(-H$5*B77)</f>
        <v/>
      </c>
      <c r="I77" s="47">
        <f>EXP(-I$5*C77)-EXP(-I$5*B77)</f>
        <v/>
      </c>
      <c r="J77" s="47">
        <f>EXP(-J$5*C77)-EXP(-J$5*B77)</f>
        <v/>
      </c>
      <c r="K77" s="47">
        <f>EXP(-K$5*C77)-EXP(-K$5*B77)</f>
        <v/>
      </c>
    </row>
    <row r="78">
      <c r="A78">
        <f>LGD_motos!A78</f>
        <v/>
      </c>
      <c r="B78" s="44">
        <f>LGD_motos!X78</f>
        <v/>
      </c>
      <c r="C78" s="44">
        <f>B77</f>
        <v/>
      </c>
      <c r="D78" s="47">
        <f>EXP(-D$5*C78)-EXP(-D$5*B78)</f>
        <v/>
      </c>
      <c r="E78" s="47">
        <f>EXP(-E$5*C78)-EXP(-E$5*B78)</f>
        <v/>
      </c>
      <c r="F78" s="47">
        <f>EXP(-F$5*C78)-EXP(-F$5*B78)</f>
        <v/>
      </c>
      <c r="G78" s="47">
        <f>EXP(-G$5*C78)-EXP(-G$5*B78)</f>
        <v/>
      </c>
      <c r="H78" s="47">
        <f>EXP(-H$5*C78)-EXP(-H$5*B78)</f>
        <v/>
      </c>
      <c r="I78" s="47">
        <f>EXP(-I$5*C78)-EXP(-I$5*B78)</f>
        <v/>
      </c>
      <c r="J78" s="47">
        <f>EXP(-J$5*C78)-EXP(-J$5*B78)</f>
        <v/>
      </c>
      <c r="K78" s="47">
        <f>EXP(-K$5*C78)-EXP(-K$5*B78)</f>
        <v/>
      </c>
    </row>
    <row r="79">
      <c r="A79">
        <f>LGD_motos!A79</f>
        <v/>
      </c>
      <c r="B79" s="44">
        <f>LGD_motos!X79</f>
        <v/>
      </c>
      <c r="C79" s="44">
        <f>B78</f>
        <v/>
      </c>
      <c r="D79" s="47">
        <f>EXP(-D$5*C79)-EXP(-D$5*B79)</f>
        <v/>
      </c>
      <c r="E79" s="47">
        <f>EXP(-E$5*C79)-EXP(-E$5*B79)</f>
        <v/>
      </c>
      <c r="F79" s="47">
        <f>EXP(-F$5*C79)-EXP(-F$5*B79)</f>
        <v/>
      </c>
      <c r="G79" s="47">
        <f>EXP(-G$5*C79)-EXP(-G$5*B79)</f>
        <v/>
      </c>
      <c r="H79" s="47">
        <f>EXP(-H$5*C79)-EXP(-H$5*B79)</f>
        <v/>
      </c>
      <c r="I79" s="47">
        <f>EXP(-I$5*C79)-EXP(-I$5*B79)</f>
        <v/>
      </c>
      <c r="J79" s="47">
        <f>EXP(-J$5*C79)-EXP(-J$5*B79)</f>
        <v/>
      </c>
      <c r="K79" s="47">
        <f>EXP(-K$5*C79)-EXP(-K$5*B79)</f>
        <v/>
      </c>
    </row>
    <row r="80">
      <c r="A80">
        <f>LGD_motos!A80</f>
        <v/>
      </c>
      <c r="B80" s="44">
        <f>LGD_motos!X80</f>
        <v/>
      </c>
      <c r="C80" s="44">
        <f>B79</f>
        <v/>
      </c>
      <c r="D80" s="47">
        <f>EXP(-D$5*C80)-EXP(-D$5*B80)</f>
        <v/>
      </c>
      <c r="E80" s="47">
        <f>EXP(-E$5*C80)-EXP(-E$5*B80)</f>
        <v/>
      </c>
      <c r="F80" s="47">
        <f>EXP(-F$5*C80)-EXP(-F$5*B80)</f>
        <v/>
      </c>
      <c r="G80" s="47">
        <f>EXP(-G$5*C80)-EXP(-G$5*B80)</f>
        <v/>
      </c>
      <c r="H80" s="47">
        <f>EXP(-H$5*C80)-EXP(-H$5*B80)</f>
        <v/>
      </c>
      <c r="I80" s="47">
        <f>EXP(-I$5*C80)-EXP(-I$5*B80)</f>
        <v/>
      </c>
      <c r="J80" s="47">
        <f>EXP(-J$5*C80)-EXP(-J$5*B80)</f>
        <v/>
      </c>
      <c r="K80" s="47">
        <f>EXP(-K$5*C80)-EXP(-K$5*B80)</f>
        <v/>
      </c>
    </row>
    <row r="81">
      <c r="A81">
        <f>LGD_motos!A81</f>
        <v/>
      </c>
      <c r="B81" s="44">
        <f>LGD_motos!X81</f>
        <v/>
      </c>
      <c r="C81" s="44">
        <f>B80</f>
        <v/>
      </c>
      <c r="D81" s="47">
        <f>EXP(-D$5*C81)-EXP(-D$5*B81)</f>
        <v/>
      </c>
      <c r="E81" s="47">
        <f>EXP(-E$5*C81)-EXP(-E$5*B81)</f>
        <v/>
      </c>
      <c r="F81" s="47">
        <f>EXP(-F$5*C81)-EXP(-F$5*B81)</f>
        <v/>
      </c>
      <c r="G81" s="47">
        <f>EXP(-G$5*C81)-EXP(-G$5*B81)</f>
        <v/>
      </c>
      <c r="H81" s="47">
        <f>EXP(-H$5*C81)-EXP(-H$5*B81)</f>
        <v/>
      </c>
      <c r="I81" s="47">
        <f>EXP(-I$5*C81)-EXP(-I$5*B81)</f>
        <v/>
      </c>
      <c r="J81" s="47">
        <f>EXP(-J$5*C81)-EXP(-J$5*B81)</f>
        <v/>
      </c>
      <c r="K81" s="47">
        <f>EXP(-K$5*C81)-EXP(-K$5*B81)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2026-09-28T06:57:47Z</dcterms:created>
  <dcterms:modified xmlns:dcterms="http://purl.org/dc/terms/" xmlns:xsi="http://www.w3.org/2001/XMLSchema-instance" xsi:type="dcterms:W3CDTF">2026-09-28T06:57:47Z</dcterms:modified>
</cp:coreProperties>
</file>