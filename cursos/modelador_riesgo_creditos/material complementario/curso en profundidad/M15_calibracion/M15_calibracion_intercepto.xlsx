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libracion" sheetId="2" state="visible" r:id="rId2"/>
    <sheet xmlns:r="http://schemas.openxmlformats.org/officeDocument/2006/relationships" name="Busqu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"/>
    <numFmt numFmtId="165" formatCode="0.000%"/>
    <numFmt numFmtId="166" formatCode="+0.0000;-0.0000"/>
    <numFmt numFmtId="167" formatCode="+0.000000;-0.000000"/>
    <numFmt numFmtId="168" formatCode="0.000000%"/>
    <numFmt numFmtId="169" formatCode="0.0%"/>
    <numFmt numFmtId="170" formatCode="+0.00;-0.00"/>
    <numFmt numFmtId="171" formatCode="0.000000"/>
    <numFmt numFmtId="172" formatCode="0.0000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2" borderId="1" pivotButton="0" quotePrefix="0" xfId="0"/>
    <xf numFmtId="164" fontId="0" fillId="0" borderId="0" pivotButton="0" quotePrefix="0" xfId="0"/>
    <xf numFmtId="1" fontId="0" fillId="2" borderId="1" pivotButton="0" quotePrefix="0" xfId="0"/>
    <xf numFmtId="0" fontId="2" fillId="3" borderId="1" applyAlignment="1" pivotButton="0" quotePrefix="0" xfId="0">
      <alignment horizontal="center" wrapText="1"/>
    </xf>
    <xf numFmtId="10" fontId="0" fillId="0" borderId="0" pivotButton="0" quotePrefix="0" xfId="0"/>
    <xf numFmtId="2" fontId="0" fillId="0" borderId="0" pivotButton="0" quotePrefix="0" xfId="0"/>
    <xf numFmtId="10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65" fontId="0" fillId="0" borderId="0" pivotButton="0" quotePrefix="0" xfId="0"/>
    <xf numFmtId="171" fontId="0" fillId="0" borderId="0" pivotButton="0" quotePrefix="0" xfId="0"/>
    <xf numFmtId="172" fontId="2" fillId="0" borderId="0" pivotButton="0" quotePrefix="0" xfId="0"/>
    <xf numFmtId="17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M15 · Calculadora de ajuste de intercepto (calibración de nivel)</t>
        </is>
      </c>
    </row>
    <row r="2">
      <c r="A2" t="inlineStr">
        <is>
          <t>Serie 2 «Del embudo al gobierno» · acompaña a M15_calibracion.md y M15_calibracion.py</t>
        </is>
      </c>
    </row>
    <row r="3">
      <c r="A3" t="inlineStr"/>
    </row>
    <row r="4">
      <c r="A4" s="2" t="inlineStr">
        <is>
          <t>QUÉ HACE</t>
        </is>
      </c>
    </row>
    <row r="5">
      <c r="A5" t="inlineStr">
        <is>
          <t>Dada la PD media y el n de 10 grupos (deciles de PD) y una tasa objetivo T (TC para TTC o tasa reciente para PIT),</t>
        </is>
      </c>
    </row>
    <row r="6">
      <c r="A6" t="inlineStr">
        <is>
          <t>calcula el δ que se suma al logit de cada PD para que la PD media ponderada sea T: PD_cal = 1/(1+exp(-(logit(PD)+δ))).</t>
        </is>
      </c>
    </row>
    <row r="7">
      <c r="A7" t="inlineStr">
        <is>
          <t>Entrega: δ de Siddiqi (logit de medias), δ Newton (1 paso con κ), δ exacto por tabla de búsqueda + 1 paso de Newton,</t>
        </is>
      </c>
    </row>
    <row r="8">
      <c r="A8" t="inlineStr">
        <is>
          <t>la PD calibrada por grupo, el desplazamiento del score (δ·factor) y, si pegas malos observados, O/E, IC de Wilson y test binomial.</t>
        </is>
      </c>
    </row>
    <row r="9">
      <c r="A9" t="inlineStr"/>
    </row>
    <row r="10">
      <c r="A10" s="2" t="inlineStr">
        <is>
          <t>CÓMO USARLA</t>
        </is>
      </c>
    </row>
    <row r="11">
      <c r="A11" t="inlineStr">
        <is>
          <t>1. Hoja «Calibracion»: celdas amarillas = entradas. Pega PD media (en proporción, 0,0118 = 1,18%) y n de cada grupo.</t>
        </is>
      </c>
    </row>
    <row r="12">
      <c r="A12" t="inlineStr">
        <is>
          <t>2. Escribe la tasa objetivo T en C4. Opcional: pega los malos observados por grupo (columna D) para el backtesting.</t>
        </is>
      </c>
    </row>
    <row r="13">
      <c r="A13" t="inlineStr">
        <is>
          <t>3. Lee δ en el bloque «Resultados». La hoja «Busqueda» hace la búsqueda en grilla (gruesa ±3 con paso 0,01; fina ±0,01 con paso 0,0001).</t>
        </is>
      </c>
    </row>
    <row r="14">
      <c r="A14" t="inlineStr">
        <is>
          <t>4. Si tienes menos de 10 grupos, deja n = 0 en los sobrantes (su PD se ignora).</t>
        </is>
      </c>
    </row>
    <row r="15">
      <c r="A15" t="inlineStr"/>
    </row>
    <row r="16">
      <c r="A16" s="2" t="inlineStr">
        <is>
          <t>SUPUESTOS Y ADVERTENCIAS</t>
        </is>
      </c>
    </row>
    <row r="17">
      <c r="A17" t="inlineStr">
        <is>
          <t>• Con datos agrupados se pierde la dispersión DENTRO de cada grupo: κ agrupado &lt; κ individual y el δ «exacto» agrupado queda</t>
        </is>
      </c>
    </row>
    <row r="18">
      <c r="A18" t="inlineStr">
        <is>
          <t xml:space="preserve">  algo por debajo del δ exacto calculado crédito a crédito (ver ejemplo precargado). Para producción, calcula δ con las PD individuales.</t>
        </is>
      </c>
    </row>
    <row r="19">
      <c r="A19" t="inlineStr">
        <is>
          <t>• κ = Var(PD)/[PD media·(1−PD media)]. Identidad (M15 §3.3): δ_Siddiqi = δ_exacto·(1 − κ̄). Siddiqi siempre se queda corto.</t>
        </is>
      </c>
    </row>
    <row r="20">
      <c r="A20" t="inlineStr">
        <is>
          <t>• El test binomial asume independencia entre créditos (sin correlación de defaults) y usa la PD media del grupo como p.</t>
        </is>
      </c>
    </row>
    <row r="21">
      <c r="A21" t="inlineStr">
        <is>
          <t xml:space="preserve">  p bilateral = min(1, 2·min(cola inferior, cola superior)) (método de doble cola mínima; scipy usa otro método, ver M19).</t>
        </is>
      </c>
    </row>
    <row r="22">
      <c r="A22" t="inlineStr">
        <is>
          <t>• Si la PD se calibró con la MISMA muestra con que se hace el backtest, el O/E global es 1 por construcción y el test no informa.</t>
        </is>
      </c>
    </row>
    <row r="23">
      <c r="A23" t="inlineStr"/>
    </row>
    <row r="24">
      <c r="A24" s="2" t="inlineStr">
        <is>
          <t>EJEMPLO PRECARGADO (Banco Austral, clase 4 v1, lámina 18 · OOT)</t>
        </is>
      </c>
    </row>
    <row r="25">
      <c r="A25" t="inlineStr">
        <is>
          <t>PD por grupo = PD calibrada TTC (δ = 0,1115 a TC 5,42%); n y tasas observadas de OOT (8 malos en el grupo 5, 119 malos en total).</t>
        </is>
      </c>
    </row>
    <row r="26">
      <c r="A26" t="inlineStr">
        <is>
          <t>Objetivo T = 5,94% (tasa OOT mar–jun 2025, calibración PIT de la clase 4 v21). Como los δ se suman, el δ exacto individual</t>
        </is>
      </c>
    </row>
    <row r="27">
      <c r="A27" t="inlineStr">
        <is>
          <t>sería 0,177 − 0,1115 = 0,0655; con los 10 grupos la planilla da ≈ 0,063 (pérdida de dispersión intra-grupo) y Siddiqi ≈ 0,053.</t>
        </is>
      </c>
    </row>
    <row r="28">
      <c r="A28" t="inlineStr">
        <is>
          <t>Los malos observados se reconstruyeron como tasa × n de la lámina (p. ej. 4,00% × 200 = 8).</t>
        </is>
      </c>
    </row>
    <row r="29">
      <c r="A29" t="inlineStr"/>
    </row>
    <row r="30">
      <c r="A30" s="2" t="inlineStr">
        <is>
          <t>FUNCIONES USADAS</t>
        </is>
      </c>
    </row>
    <row r="31">
      <c r="A31" t="inlineStr">
        <is>
          <t>LN, EXP, SQRT, SUM, SUMPRODUCT, INDEX, MATCH, MIN, MAX, ABS, IF, BINOM.DIST, NORM.S.INV. Compatibles con Excel, Google Sheets y LibreOffice.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Ajuste de intercepto por grupos</t>
        </is>
      </c>
    </row>
    <row r="3">
      <c r="B3" s="2" t="inlineStr">
        <is>
          <t>Parámetros</t>
        </is>
      </c>
    </row>
    <row r="4">
      <c r="B4" t="inlineStr">
        <is>
          <t>Tasa objetivo T (TC o PIT)</t>
        </is>
      </c>
      <c r="C4" s="3" t="n">
        <v>0.0594</v>
      </c>
      <c r="E4" t="inlineStr">
        <is>
          <t>factor = PDO/ln2</t>
        </is>
      </c>
      <c r="F4" s="4">
        <f>C5/LN(2)</f>
        <v/>
      </c>
    </row>
    <row r="5">
      <c r="B5" t="inlineStr">
        <is>
          <t>PDO (puntos para duplicar odds)</t>
        </is>
      </c>
      <c r="C5" s="5" t="n">
        <v>20</v>
      </c>
      <c r="E5" t="inlineStr">
        <is>
          <t>offset = base − factor·ln(odds)</t>
        </is>
      </c>
      <c r="F5" s="4">
        <f>C6-F4*LN(C7)</f>
        <v/>
      </c>
    </row>
    <row r="6">
      <c r="B6" t="inlineStr">
        <is>
          <t>Score base</t>
        </is>
      </c>
      <c r="C6" s="5" t="n">
        <v>600</v>
      </c>
    </row>
    <row r="7">
      <c r="B7" t="inlineStr">
        <is>
          <t>Odds base (buenos:malos)</t>
        </is>
      </c>
      <c r="C7" s="5" t="n">
        <v>50</v>
      </c>
    </row>
    <row r="10" ht="42" customHeight="1">
      <c r="A10" s="6" t="inlineStr">
        <is>
          <t>Grupo</t>
        </is>
      </c>
      <c r="B10" s="6" t="inlineStr">
        <is>
          <t>PD media (entrada)</t>
        </is>
      </c>
      <c r="C10" s="6" t="inlineStr">
        <is>
          <t>n (entrada)</t>
        </is>
      </c>
      <c r="D10" s="6" t="inlineStr">
        <is>
          <t>Malos obs. (opcional)</t>
        </is>
      </c>
      <c r="E10" s="6" t="inlineStr">
        <is>
          <t>logit(PD)</t>
        </is>
      </c>
      <c r="F10" s="6" t="inlineStr">
        <is>
          <t>PD calibrada</t>
        </is>
      </c>
      <c r="G10" s="6" t="inlineStr">
        <is>
          <t>Malos esperados</t>
        </is>
      </c>
      <c r="H10" s="6" t="inlineStr">
        <is>
          <t>Tasa observada</t>
        </is>
      </c>
      <c r="I10" s="6" t="inlineStr">
        <is>
          <t>O/E</t>
        </is>
      </c>
      <c r="J10" s="6" t="inlineStr">
        <is>
          <t>Wilson inf</t>
        </is>
      </c>
      <c r="K10" s="6" t="inlineStr">
        <is>
          <t>Wilson sup</t>
        </is>
      </c>
      <c r="L10" s="6" t="inlineStr">
        <is>
          <t>¿PD cal en IC?</t>
        </is>
      </c>
      <c r="M10" s="6" t="inlineStr">
        <is>
          <t>p (≥k)</t>
        </is>
      </c>
      <c r="N10" s="6" t="inlineStr">
        <is>
          <t>p (≤k)</t>
        </is>
      </c>
      <c r="O10" s="6" t="inlineStr">
        <is>
          <t>p bilateral</t>
        </is>
      </c>
      <c r="P10" s="6" t="inlineStr">
        <is>
          <t>Semáforo</t>
        </is>
      </c>
      <c r="Q10" s="6" t="inlineStr">
        <is>
          <t>O/E antes de calibrar</t>
        </is>
      </c>
    </row>
    <row r="11">
      <c r="A11" t="n">
        <v>1</v>
      </c>
      <c r="B11" s="3" t="n">
        <v>0.0005</v>
      </c>
      <c r="C11" s="5" t="n">
        <v>201</v>
      </c>
      <c r="D11" s="5" t="n">
        <v>0</v>
      </c>
      <c r="E11" s="4">
        <f>IF(C11&gt;0,LN(B11/(1-B11)),0)</f>
        <v/>
      </c>
      <c r="F11" s="7">
        <f>1/(1+EXP(-(E11+$C$28)))</f>
        <v/>
      </c>
      <c r="G11" s="8">
        <f>C11*F11</f>
        <v/>
      </c>
      <c r="H11" s="7">
        <f>IF(C11&gt;0,D11/C11,0)</f>
        <v/>
      </c>
      <c r="I11" s="8">
        <f>IF(G11&gt;0,D11/G11,0)</f>
        <v/>
      </c>
      <c r="J11" s="7">
        <f>IF(C11&gt;0,(H11+$C$33^2/(2*C11))/(1+$C$33^2/C11)-$C$33/(1+$C$33^2/C11)*SQRT(H11*(1-H11)/C11+$C$33^2/(4*C11^2)),0)</f>
        <v/>
      </c>
      <c r="K11" s="7">
        <f>IF(C11&gt;0,(H11+$C$33^2/(2*C11))/(1+$C$33^2/C11)+$C$33/(1+$C$33^2/C11)*SQRT(H11*(1-H11)/C11+$C$33^2/(4*C11^2)),0)</f>
        <v/>
      </c>
      <c r="L11">
        <f>IF(AND(F11&gt;=J11,F11&lt;=K11),"sí","NO")</f>
        <v/>
      </c>
      <c r="M11" s="4">
        <f>IF(C11=0,1,IF(D11=0,1,1-_xlfn.BINOM.DIST(D11-1,C11,F11,TRUE)))</f>
        <v/>
      </c>
      <c r="N11" s="4">
        <f>IF(C11=0,1,_xlfn.BINOM.DIST(D11,C11,F11,TRUE))</f>
        <v/>
      </c>
      <c r="O11" s="4">
        <f>MIN(1,2*MIN(M11,N11))</f>
        <v/>
      </c>
      <c r="P11">
        <f>IF(O11&lt;0.01,"rojo",IF(O11&lt;0.05,"amarillo","verde"))</f>
        <v/>
      </c>
      <c r="Q11" s="8">
        <f>IF(C11*B11&gt;0,D11/(C11*B11),0)</f>
        <v/>
      </c>
    </row>
    <row r="12">
      <c r="A12" t="n">
        <v>2</v>
      </c>
      <c r="B12" s="3" t="n">
        <v>0.0014</v>
      </c>
      <c r="C12" s="5" t="n">
        <v>200</v>
      </c>
      <c r="D12" s="5" t="n">
        <v>0</v>
      </c>
      <c r="E12" s="4">
        <f>IF(C12&gt;0,LN(B12/(1-B12)),0)</f>
        <v/>
      </c>
      <c r="F12" s="7">
        <f>1/(1+EXP(-(E12+$C$28)))</f>
        <v/>
      </c>
      <c r="G12" s="8">
        <f>C12*F12</f>
        <v/>
      </c>
      <c r="H12" s="7">
        <f>IF(C12&gt;0,D12/C12,0)</f>
        <v/>
      </c>
      <c r="I12" s="8">
        <f>IF(G12&gt;0,D12/G12,0)</f>
        <v/>
      </c>
      <c r="J12" s="7">
        <f>IF(C12&gt;0,(H12+$C$33^2/(2*C12))/(1+$C$33^2/C12)-$C$33/(1+$C$33^2/C12)*SQRT(H12*(1-H12)/C12+$C$33^2/(4*C12^2)),0)</f>
        <v/>
      </c>
      <c r="K12" s="7">
        <f>IF(C12&gt;0,(H12+$C$33^2/(2*C12))/(1+$C$33^2/C12)+$C$33/(1+$C$33^2/C12)*SQRT(H12*(1-H12)/C12+$C$33^2/(4*C12^2)),0)</f>
        <v/>
      </c>
      <c r="L12">
        <f>IF(AND(F12&gt;=J12,F12&lt;=K12),"sí","NO")</f>
        <v/>
      </c>
      <c r="M12" s="4">
        <f>IF(C12=0,1,IF(D12=0,1,1-_xlfn.BINOM.DIST(D12-1,C12,F12,TRUE)))</f>
        <v/>
      </c>
      <c r="N12" s="4">
        <f>IF(C12=0,1,_xlfn.BINOM.DIST(D12,C12,F12,TRUE))</f>
        <v/>
      </c>
      <c r="O12" s="4">
        <f>MIN(1,2*MIN(M12,N12))</f>
        <v/>
      </c>
      <c r="P12">
        <f>IF(O12&lt;0.01,"rojo",IF(O12&lt;0.05,"amarillo","verde"))</f>
        <v/>
      </c>
      <c r="Q12" s="8">
        <f>IF(C12*B12&gt;0,D12/(C12*B12),0)</f>
        <v/>
      </c>
    </row>
    <row r="13">
      <c r="A13" t="n">
        <v>3</v>
      </c>
      <c r="B13" s="3" t="n">
        <v>0.0032</v>
      </c>
      <c r="C13" s="5" t="n">
        <v>200</v>
      </c>
      <c r="D13" s="5" t="n">
        <v>3</v>
      </c>
      <c r="E13" s="4">
        <f>IF(C13&gt;0,LN(B13/(1-B13)),0)</f>
        <v/>
      </c>
      <c r="F13" s="7">
        <f>1/(1+EXP(-(E13+$C$28)))</f>
        <v/>
      </c>
      <c r="G13" s="8">
        <f>C13*F13</f>
        <v/>
      </c>
      <c r="H13" s="7">
        <f>IF(C13&gt;0,D13/C13,0)</f>
        <v/>
      </c>
      <c r="I13" s="8">
        <f>IF(G13&gt;0,D13/G13,0)</f>
        <v/>
      </c>
      <c r="J13" s="7">
        <f>IF(C13&gt;0,(H13+$C$33^2/(2*C13))/(1+$C$33^2/C13)-$C$33/(1+$C$33^2/C13)*SQRT(H13*(1-H13)/C13+$C$33^2/(4*C13^2)),0)</f>
        <v/>
      </c>
      <c r="K13" s="7">
        <f>IF(C13&gt;0,(H13+$C$33^2/(2*C13))/(1+$C$33^2/C13)+$C$33/(1+$C$33^2/C13)*SQRT(H13*(1-H13)/C13+$C$33^2/(4*C13^2)),0)</f>
        <v/>
      </c>
      <c r="L13">
        <f>IF(AND(F13&gt;=J13,F13&lt;=K13),"sí","NO")</f>
        <v/>
      </c>
      <c r="M13" s="4">
        <f>IF(C13=0,1,IF(D13=0,1,1-_xlfn.BINOM.DIST(D13-1,C13,F13,TRUE)))</f>
        <v/>
      </c>
      <c r="N13" s="4">
        <f>IF(C13=0,1,_xlfn.BINOM.DIST(D13,C13,F13,TRUE))</f>
        <v/>
      </c>
      <c r="O13" s="4">
        <f>MIN(1,2*MIN(M13,N13))</f>
        <v/>
      </c>
      <c r="P13">
        <f>IF(O13&lt;0.01,"rojo",IF(O13&lt;0.05,"amarillo","verde"))</f>
        <v/>
      </c>
      <c r="Q13" s="8">
        <f>IF(C13*B13&gt;0,D13/(C13*B13),0)</f>
        <v/>
      </c>
    </row>
    <row r="14">
      <c r="A14" t="n">
        <v>4</v>
      </c>
      <c r="B14" s="3" t="n">
        <v>0.0062</v>
      </c>
      <c r="C14" s="5" t="n">
        <v>201</v>
      </c>
      <c r="D14" s="5" t="n">
        <v>2</v>
      </c>
      <c r="E14" s="4">
        <f>IF(C14&gt;0,LN(B14/(1-B14)),0)</f>
        <v/>
      </c>
      <c r="F14" s="7">
        <f>1/(1+EXP(-(E14+$C$28)))</f>
        <v/>
      </c>
      <c r="G14" s="8">
        <f>C14*F14</f>
        <v/>
      </c>
      <c r="H14" s="7">
        <f>IF(C14&gt;0,D14/C14,0)</f>
        <v/>
      </c>
      <c r="I14" s="8">
        <f>IF(G14&gt;0,D14/G14,0)</f>
        <v/>
      </c>
      <c r="J14" s="7">
        <f>IF(C14&gt;0,(H14+$C$33^2/(2*C14))/(1+$C$33^2/C14)-$C$33/(1+$C$33^2/C14)*SQRT(H14*(1-H14)/C14+$C$33^2/(4*C14^2)),0)</f>
        <v/>
      </c>
      <c r="K14" s="7">
        <f>IF(C14&gt;0,(H14+$C$33^2/(2*C14))/(1+$C$33^2/C14)+$C$33/(1+$C$33^2/C14)*SQRT(H14*(1-H14)/C14+$C$33^2/(4*C14^2)),0)</f>
        <v/>
      </c>
      <c r="L14">
        <f>IF(AND(F14&gt;=J14,F14&lt;=K14),"sí","NO")</f>
        <v/>
      </c>
      <c r="M14" s="4">
        <f>IF(C14=0,1,IF(D14=0,1,1-_xlfn.BINOM.DIST(D14-1,C14,F14,TRUE)))</f>
        <v/>
      </c>
      <c r="N14" s="4">
        <f>IF(C14=0,1,_xlfn.BINOM.DIST(D14,C14,F14,TRUE))</f>
        <v/>
      </c>
      <c r="O14" s="4">
        <f>MIN(1,2*MIN(M14,N14))</f>
        <v/>
      </c>
      <c r="P14">
        <f>IF(O14&lt;0.01,"rojo",IF(O14&lt;0.05,"amarillo","verde"))</f>
        <v/>
      </c>
      <c r="Q14" s="8">
        <f>IF(C14*B14&gt;0,D14/(C14*B14),0)</f>
        <v/>
      </c>
    </row>
    <row r="15">
      <c r="A15" t="n">
        <v>5</v>
      </c>
      <c r="B15" s="3" t="n">
        <v>0.011</v>
      </c>
      <c r="C15" s="5" t="n">
        <v>200</v>
      </c>
      <c r="D15" s="5" t="n">
        <v>8</v>
      </c>
      <c r="E15" s="4">
        <f>IF(C15&gt;0,LN(B15/(1-B15)),0)</f>
        <v/>
      </c>
      <c r="F15" s="7">
        <f>1/(1+EXP(-(E15+$C$28)))</f>
        <v/>
      </c>
      <c r="G15" s="8">
        <f>C15*F15</f>
        <v/>
      </c>
      <c r="H15" s="7">
        <f>IF(C15&gt;0,D15/C15,0)</f>
        <v/>
      </c>
      <c r="I15" s="8">
        <f>IF(G15&gt;0,D15/G15,0)</f>
        <v/>
      </c>
      <c r="J15" s="7">
        <f>IF(C15&gt;0,(H15+$C$33^2/(2*C15))/(1+$C$33^2/C15)-$C$33/(1+$C$33^2/C15)*SQRT(H15*(1-H15)/C15+$C$33^2/(4*C15^2)),0)</f>
        <v/>
      </c>
      <c r="K15" s="7">
        <f>IF(C15&gt;0,(H15+$C$33^2/(2*C15))/(1+$C$33^2/C15)+$C$33/(1+$C$33^2/C15)*SQRT(H15*(1-H15)/C15+$C$33^2/(4*C15^2)),0)</f>
        <v/>
      </c>
      <c r="L15">
        <f>IF(AND(F15&gt;=J15,F15&lt;=K15),"sí","NO")</f>
        <v/>
      </c>
      <c r="M15" s="4">
        <f>IF(C15=0,1,IF(D15=0,1,1-_xlfn.BINOM.DIST(D15-1,C15,F15,TRUE)))</f>
        <v/>
      </c>
      <c r="N15" s="4">
        <f>IF(C15=0,1,_xlfn.BINOM.DIST(D15,C15,F15,TRUE))</f>
        <v/>
      </c>
      <c r="O15" s="4">
        <f>MIN(1,2*MIN(M15,N15))</f>
        <v/>
      </c>
      <c r="P15">
        <f>IF(O15&lt;0.01,"rojo",IF(O15&lt;0.05,"amarillo","verde"))</f>
        <v/>
      </c>
      <c r="Q15" s="8">
        <f>IF(C15*B15&gt;0,D15/(C15*B15),0)</f>
        <v/>
      </c>
    </row>
    <row r="16">
      <c r="A16" t="n">
        <v>6</v>
      </c>
      <c r="B16" s="3" t="n">
        <v>0.0193</v>
      </c>
      <c r="C16" s="5" t="n">
        <v>200</v>
      </c>
      <c r="D16" s="5" t="n">
        <v>7</v>
      </c>
      <c r="E16" s="4">
        <f>IF(C16&gt;0,LN(B16/(1-B16)),0)</f>
        <v/>
      </c>
      <c r="F16" s="7">
        <f>1/(1+EXP(-(E16+$C$28)))</f>
        <v/>
      </c>
      <c r="G16" s="8">
        <f>C16*F16</f>
        <v/>
      </c>
      <c r="H16" s="7">
        <f>IF(C16&gt;0,D16/C16,0)</f>
        <v/>
      </c>
      <c r="I16" s="8">
        <f>IF(G16&gt;0,D16/G16,0)</f>
        <v/>
      </c>
      <c r="J16" s="7">
        <f>IF(C16&gt;0,(H16+$C$33^2/(2*C16))/(1+$C$33^2/C16)-$C$33/(1+$C$33^2/C16)*SQRT(H16*(1-H16)/C16+$C$33^2/(4*C16^2)),0)</f>
        <v/>
      </c>
      <c r="K16" s="7">
        <f>IF(C16&gt;0,(H16+$C$33^2/(2*C16))/(1+$C$33^2/C16)+$C$33/(1+$C$33^2/C16)*SQRT(H16*(1-H16)/C16+$C$33^2/(4*C16^2)),0)</f>
        <v/>
      </c>
      <c r="L16">
        <f>IF(AND(F16&gt;=J16,F16&lt;=K16),"sí","NO")</f>
        <v/>
      </c>
      <c r="M16" s="4">
        <f>IF(C16=0,1,IF(D16=0,1,1-_xlfn.BINOM.DIST(D16-1,C16,F16,TRUE)))</f>
        <v/>
      </c>
      <c r="N16" s="4">
        <f>IF(C16=0,1,_xlfn.BINOM.DIST(D16,C16,F16,TRUE))</f>
        <v/>
      </c>
      <c r="O16" s="4">
        <f>MIN(1,2*MIN(M16,N16))</f>
        <v/>
      </c>
      <c r="P16">
        <f>IF(O16&lt;0.01,"rojo",IF(O16&lt;0.05,"amarillo","verde"))</f>
        <v/>
      </c>
      <c r="Q16" s="8">
        <f>IF(C16*B16&gt;0,D16/(C16*B16),0)</f>
        <v/>
      </c>
    </row>
    <row r="17">
      <c r="A17" t="n">
        <v>7</v>
      </c>
      <c r="B17" s="3" t="n">
        <v>0.034</v>
      </c>
      <c r="C17" s="5" t="n">
        <v>201</v>
      </c>
      <c r="D17" s="5" t="n">
        <v>5</v>
      </c>
      <c r="E17" s="4">
        <f>IF(C17&gt;0,LN(B17/(1-B17)),0)</f>
        <v/>
      </c>
      <c r="F17" s="7">
        <f>1/(1+EXP(-(E17+$C$28)))</f>
        <v/>
      </c>
      <c r="G17" s="8">
        <f>C17*F17</f>
        <v/>
      </c>
      <c r="H17" s="7">
        <f>IF(C17&gt;0,D17/C17,0)</f>
        <v/>
      </c>
      <c r="I17" s="8">
        <f>IF(G17&gt;0,D17/G17,0)</f>
        <v/>
      </c>
      <c r="J17" s="7">
        <f>IF(C17&gt;0,(H17+$C$33^2/(2*C17))/(1+$C$33^2/C17)-$C$33/(1+$C$33^2/C17)*SQRT(H17*(1-H17)/C17+$C$33^2/(4*C17^2)),0)</f>
        <v/>
      </c>
      <c r="K17" s="7">
        <f>IF(C17&gt;0,(H17+$C$33^2/(2*C17))/(1+$C$33^2/C17)+$C$33/(1+$C$33^2/C17)*SQRT(H17*(1-H17)/C17+$C$33^2/(4*C17^2)),0)</f>
        <v/>
      </c>
      <c r="L17">
        <f>IF(AND(F17&gt;=J17,F17&lt;=K17),"sí","NO")</f>
        <v/>
      </c>
      <c r="M17" s="4">
        <f>IF(C17=0,1,IF(D17=0,1,1-_xlfn.BINOM.DIST(D17-1,C17,F17,TRUE)))</f>
        <v/>
      </c>
      <c r="N17" s="4">
        <f>IF(C17=0,1,_xlfn.BINOM.DIST(D17,C17,F17,TRUE))</f>
        <v/>
      </c>
      <c r="O17" s="4">
        <f>MIN(1,2*MIN(M17,N17))</f>
        <v/>
      </c>
      <c r="P17">
        <f>IF(O17&lt;0.01,"rojo",IF(O17&lt;0.05,"amarillo","verde"))</f>
        <v/>
      </c>
      <c r="Q17" s="8">
        <f>IF(C17*B17&gt;0,D17/(C17*B17),0)</f>
        <v/>
      </c>
    </row>
    <row r="18">
      <c r="A18" t="n">
        <v>8</v>
      </c>
      <c r="B18" s="3" t="n">
        <v>0.0621</v>
      </c>
      <c r="C18" s="5" t="n">
        <v>200</v>
      </c>
      <c r="D18" s="5" t="n">
        <v>11</v>
      </c>
      <c r="E18" s="4">
        <f>IF(C18&gt;0,LN(B18/(1-B18)),0)</f>
        <v/>
      </c>
      <c r="F18" s="7">
        <f>1/(1+EXP(-(E18+$C$28)))</f>
        <v/>
      </c>
      <c r="G18" s="8">
        <f>C18*F18</f>
        <v/>
      </c>
      <c r="H18" s="7">
        <f>IF(C18&gt;0,D18/C18,0)</f>
        <v/>
      </c>
      <c r="I18" s="8">
        <f>IF(G18&gt;0,D18/G18,0)</f>
        <v/>
      </c>
      <c r="J18" s="7">
        <f>IF(C18&gt;0,(H18+$C$33^2/(2*C18))/(1+$C$33^2/C18)-$C$33/(1+$C$33^2/C18)*SQRT(H18*(1-H18)/C18+$C$33^2/(4*C18^2)),0)</f>
        <v/>
      </c>
      <c r="K18" s="7">
        <f>IF(C18&gt;0,(H18+$C$33^2/(2*C18))/(1+$C$33^2/C18)+$C$33/(1+$C$33^2/C18)*SQRT(H18*(1-H18)/C18+$C$33^2/(4*C18^2)),0)</f>
        <v/>
      </c>
      <c r="L18">
        <f>IF(AND(F18&gt;=J18,F18&lt;=K18),"sí","NO")</f>
        <v/>
      </c>
      <c r="M18" s="4">
        <f>IF(C18=0,1,IF(D18=0,1,1-_xlfn.BINOM.DIST(D18-1,C18,F18,TRUE)))</f>
        <v/>
      </c>
      <c r="N18" s="4">
        <f>IF(C18=0,1,_xlfn.BINOM.DIST(D18,C18,F18,TRUE))</f>
        <v/>
      </c>
      <c r="O18" s="4">
        <f>MIN(1,2*MIN(M18,N18))</f>
        <v/>
      </c>
      <c r="P18">
        <f>IF(O18&lt;0.01,"rojo",IF(O18&lt;0.05,"amarillo","verde"))</f>
        <v/>
      </c>
      <c r="Q18" s="8">
        <f>IF(C18*B18&gt;0,D18/(C18*B18),0)</f>
        <v/>
      </c>
    </row>
    <row r="19">
      <c r="A19" t="n">
        <v>9</v>
      </c>
      <c r="B19" s="3" t="n">
        <v>0.1211</v>
      </c>
      <c r="C19" s="5" t="n">
        <v>200</v>
      </c>
      <c r="D19" s="5" t="n">
        <v>26</v>
      </c>
      <c r="E19" s="4">
        <f>IF(C19&gt;0,LN(B19/(1-B19)),0)</f>
        <v/>
      </c>
      <c r="F19" s="7">
        <f>1/(1+EXP(-(E19+$C$28)))</f>
        <v/>
      </c>
      <c r="G19" s="8">
        <f>C19*F19</f>
        <v/>
      </c>
      <c r="H19" s="7">
        <f>IF(C19&gt;0,D19/C19,0)</f>
        <v/>
      </c>
      <c r="I19" s="8">
        <f>IF(G19&gt;0,D19/G19,0)</f>
        <v/>
      </c>
      <c r="J19" s="7">
        <f>IF(C19&gt;0,(H19+$C$33^2/(2*C19))/(1+$C$33^2/C19)-$C$33/(1+$C$33^2/C19)*SQRT(H19*(1-H19)/C19+$C$33^2/(4*C19^2)),0)</f>
        <v/>
      </c>
      <c r="K19" s="7">
        <f>IF(C19&gt;0,(H19+$C$33^2/(2*C19))/(1+$C$33^2/C19)+$C$33/(1+$C$33^2/C19)*SQRT(H19*(1-H19)/C19+$C$33^2/(4*C19^2)),0)</f>
        <v/>
      </c>
      <c r="L19">
        <f>IF(AND(F19&gt;=J19,F19&lt;=K19),"sí","NO")</f>
        <v/>
      </c>
      <c r="M19" s="4">
        <f>IF(C19=0,1,IF(D19=0,1,1-_xlfn.BINOM.DIST(D19-1,C19,F19,TRUE)))</f>
        <v/>
      </c>
      <c r="N19" s="4">
        <f>IF(C19=0,1,_xlfn.BINOM.DIST(D19,C19,F19,TRUE))</f>
        <v/>
      </c>
      <c r="O19" s="4">
        <f>MIN(1,2*MIN(M19,N19))</f>
        <v/>
      </c>
      <c r="P19">
        <f>IF(O19&lt;0.01,"rojo",IF(O19&lt;0.05,"amarillo","verde"))</f>
        <v/>
      </c>
      <c r="Q19" s="8">
        <f>IF(C19*B19&gt;0,D19/(C19*B19),0)</f>
        <v/>
      </c>
    </row>
    <row r="20">
      <c r="A20" t="n">
        <v>10</v>
      </c>
      <c r="B20" s="3" t="n">
        <v>0.3056</v>
      </c>
      <c r="C20" s="5" t="n">
        <v>201</v>
      </c>
      <c r="D20" s="5" t="n">
        <v>57</v>
      </c>
      <c r="E20" s="4">
        <f>IF(C20&gt;0,LN(B20/(1-B20)),0)</f>
        <v/>
      </c>
      <c r="F20" s="7">
        <f>1/(1+EXP(-(E20+$C$28)))</f>
        <v/>
      </c>
      <c r="G20" s="8">
        <f>C20*F20</f>
        <v/>
      </c>
      <c r="H20" s="7">
        <f>IF(C20&gt;0,D20/C20,0)</f>
        <v/>
      </c>
      <c r="I20" s="8">
        <f>IF(G20&gt;0,D20/G20,0)</f>
        <v/>
      </c>
      <c r="J20" s="7">
        <f>IF(C20&gt;0,(H20+$C$33^2/(2*C20))/(1+$C$33^2/C20)-$C$33/(1+$C$33^2/C20)*SQRT(H20*(1-H20)/C20+$C$33^2/(4*C20^2)),0)</f>
        <v/>
      </c>
      <c r="K20" s="7">
        <f>IF(C20&gt;0,(H20+$C$33^2/(2*C20))/(1+$C$33^2/C20)+$C$33/(1+$C$33^2/C20)*SQRT(H20*(1-H20)/C20+$C$33^2/(4*C20^2)),0)</f>
        <v/>
      </c>
      <c r="L20">
        <f>IF(AND(F20&gt;=J20,F20&lt;=K20),"sí","NO")</f>
        <v/>
      </c>
      <c r="M20" s="4">
        <f>IF(C20=0,1,IF(D20=0,1,1-_xlfn.BINOM.DIST(D20-1,C20,F20,TRUE)))</f>
        <v/>
      </c>
      <c r="N20" s="4">
        <f>IF(C20=0,1,_xlfn.BINOM.DIST(D20,C20,F20,TRUE))</f>
        <v/>
      </c>
      <c r="O20" s="4">
        <f>MIN(1,2*MIN(M20,N20))</f>
        <v/>
      </c>
      <c r="P20">
        <f>IF(O20&lt;0.01,"rojo",IF(O20&lt;0.05,"amarillo","verde"))</f>
        <v/>
      </c>
      <c r="Q20" s="8">
        <f>IF(C20*B20&gt;0,D20/(C20*B20),0)</f>
        <v/>
      </c>
    </row>
    <row r="21">
      <c r="A21" s="2" t="inlineStr">
        <is>
          <t>Total</t>
        </is>
      </c>
      <c r="B21" s="9">
        <f>SUMPRODUCT(B11:B20,C11:C20)/SUM(C11:C20)</f>
        <v/>
      </c>
      <c r="C21" s="10">
        <f>SUM(C11:C20)</f>
        <v/>
      </c>
      <c r="D21" s="10">
        <f>SUM(D11:D20)</f>
        <v/>
      </c>
      <c r="E21" s="2" t="n"/>
      <c r="F21" s="9">
        <f>SUMPRODUCT(F11:F20,C11:C20)/C21</f>
        <v/>
      </c>
      <c r="G21" s="11">
        <f>SUM(G11:G20)</f>
        <v/>
      </c>
      <c r="H21" s="9">
        <f>D21/C21</f>
        <v/>
      </c>
      <c r="I21" s="11">
        <f>D21/G21</f>
        <v/>
      </c>
      <c r="J21" s="2" t="n"/>
      <c r="K21" s="2" t="n"/>
      <c r="L21" s="2" t="n"/>
      <c r="M21" s="12">
        <f>IF(D21=0,1,1-_xlfn.BINOM.DIST(D21-1,C21,F21,TRUE))</f>
        <v/>
      </c>
      <c r="N21" s="12">
        <f>_xlfn.BINOM.DIST(D21,C21,F21,TRUE)</f>
        <v/>
      </c>
      <c r="O21" s="12">
        <f>MIN(1,2*MIN(M21,N21))</f>
        <v/>
      </c>
      <c r="P21" s="2">
        <f>IF(O21&lt;0.01,"rojo",IF(O21&lt;0.05,"amarillo","verde"))</f>
        <v/>
      </c>
      <c r="Q21" s="11">
        <f>D21/SUMPRODUCT(B11:B20,C11:C20)</f>
        <v/>
      </c>
    </row>
    <row r="23">
      <c r="B23" s="2" t="inlineStr">
        <is>
          <t>Resultados</t>
        </is>
      </c>
    </row>
    <row r="24">
      <c r="B24" t="inlineStr">
        <is>
          <t>PD media ponderada (antes)</t>
        </is>
      </c>
      <c r="C24" s="13">
        <f>B21</f>
        <v/>
      </c>
    </row>
    <row r="25">
      <c r="B25" t="inlineStr">
        <is>
          <t>κ agrupado = Var(PD)/[p̄(1−p̄)]</t>
        </is>
      </c>
      <c r="C25" s="14">
        <f>SUMPRODUCT(C11:C20,(B11:B20-C24)^2)/C21/(C24*(1-C24))</f>
        <v/>
      </c>
    </row>
    <row r="26">
      <c r="B26" t="inlineStr">
        <is>
          <t>δ Siddiqi = logit(T) − logit(p̄)</t>
        </is>
      </c>
      <c r="C26" s="15">
        <f>LN(C4/(1-C4))-LN(C24/(1-C24))</f>
        <v/>
      </c>
    </row>
    <row r="27">
      <c r="B27" t="inlineStr">
        <is>
          <t>δ Newton 1 paso = δ_S/(1−κ)</t>
        </is>
      </c>
      <c r="C27" s="15">
        <f>C26/(1-C25)</f>
        <v/>
      </c>
    </row>
    <row r="28">
      <c r="B28" t="inlineStr">
        <is>
          <t>δ exacto (búsqueda fina + 1 paso de Newton)  ← se aplica</t>
        </is>
      </c>
      <c r="C28" s="16">
        <f>Busqueda!I4-Busqueda!I5/Busqueda!I6</f>
        <v/>
      </c>
      <c r="D28" t="inlineStr">
        <is>
          <t>(δ que usa la columna F)</t>
        </is>
      </c>
    </row>
    <row r="29">
      <c r="B29" t="inlineStr">
        <is>
          <t>Verificación: PD media calibrada − T</t>
        </is>
      </c>
      <c r="C29" s="17">
        <f>F21-C4</f>
        <v/>
      </c>
    </row>
    <row r="30">
      <c r="B30" t="inlineStr">
        <is>
          <t>Error relativo de Siddiqi = 1 − δ_S/δ</t>
        </is>
      </c>
      <c r="C30" s="18">
        <f>1-C26/C28</f>
        <v/>
      </c>
    </row>
    <row r="31">
      <c r="B31" t="inlineStr">
        <is>
          <t>Desplazamiento del score = −δ·factor (pts)</t>
        </is>
      </c>
      <c r="C31" s="19">
        <f>-C28*F4</f>
        <v/>
      </c>
    </row>
    <row r="32">
      <c r="B32" t="inlineStr">
        <is>
          <t>PD que corresponde al score base antes → después</t>
        </is>
      </c>
      <c r="C32" s="13">
        <f>1/(1+C7)</f>
        <v/>
      </c>
      <c r="D32" s="20">
        <f>1/(1+EXP(-(LN(C32/(1-C32))+C28)))</f>
        <v/>
      </c>
      <c r="E32" t="inlineStr">
        <is>
          <t>(el mismo score promete otra PD tras calibrar)</t>
        </is>
      </c>
    </row>
    <row r="33">
      <c r="B33" t="inlineStr">
        <is>
          <t>z para IC 95% (NORM.S.INV(0,975))</t>
        </is>
      </c>
      <c r="C33" s="14">
        <f>_xlfn.NORM.S.INV(0.975)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8" max="8"/>
    <col width="16" customWidth="1" min="9" max="9"/>
  </cols>
  <sheetData>
    <row r="1">
      <c r="A1" s="1" t="inlineStr">
        <is>
          <t>Búsqueda de δ: f(δ) = Σ n·σ(logit(PD)+δ)/Σn − T</t>
        </is>
      </c>
    </row>
    <row r="3">
      <c r="A3" s="2" t="inlineStr">
        <is>
          <t>δ grueso</t>
        </is>
      </c>
      <c r="B3" s="2" t="inlineStr">
        <is>
          <t>f(δ)</t>
        </is>
      </c>
      <c r="C3" s="2" t="inlineStr">
        <is>
          <t>|f(δ)|</t>
        </is>
      </c>
      <c r="E3" s="2" t="inlineStr">
        <is>
          <t>δ fino</t>
        </is>
      </c>
      <c r="F3" s="2" t="inlineStr">
        <is>
          <t>f(δ)</t>
        </is>
      </c>
      <c r="G3" s="2" t="inlineStr">
        <is>
          <t>|f(δ)|</t>
        </is>
      </c>
      <c r="H3" t="inlineStr">
        <is>
          <t>δ grueso (mín |f|)</t>
        </is>
      </c>
      <c r="I3" s="11">
        <f>INDEX(A4:A604,MATCH(MIN(C4:C604),C4:C604,0))</f>
        <v/>
      </c>
    </row>
    <row r="4">
      <c r="A4" s="8" t="n">
        <v>-3</v>
      </c>
      <c r="B4" s="21">
        <f>SUMPRODUCT(Calibracion!$C$11:$C$20,1/(1+EXP(-(Calibracion!$E$11:$E$20+A4))))/Calibracion!$C$21-Calibracion!$C$4</f>
        <v/>
      </c>
      <c r="C4" s="21">
        <f>ABS(B4)</f>
        <v/>
      </c>
      <c r="E4" s="4">
        <f>I3-0.01</f>
        <v/>
      </c>
      <c r="F4" s="21">
        <f>SUMPRODUCT(Calibracion!$C$11:$C$20,1/(1+EXP(-(Calibracion!$E$11:$E$20+E4))))/Calibracion!$C$21-Calibracion!$C$4</f>
        <v/>
      </c>
      <c r="G4" s="21">
        <f>ABS(F4)</f>
        <v/>
      </c>
      <c r="H4" t="inlineStr">
        <is>
          <t>δ fino (mín |f|)</t>
        </is>
      </c>
      <c r="I4" s="12">
        <f>INDEX(E4:E204,MATCH(MIN(G4:G204),G4:G204,0))</f>
        <v/>
      </c>
    </row>
    <row r="5">
      <c r="A5" s="8">
        <f>A4+0.01</f>
        <v/>
      </c>
      <c r="B5" s="21">
        <f>SUMPRODUCT(Calibracion!$C$11:$C$20,1/(1+EXP(-(Calibracion!$E$11:$E$20+A5))))/Calibracion!$C$21-Calibracion!$C$4</f>
        <v/>
      </c>
      <c r="C5" s="21">
        <f>ABS(B5)</f>
        <v/>
      </c>
      <c r="E5" s="4">
        <f>E4+0.0001</f>
        <v/>
      </c>
      <c r="F5" s="21">
        <f>SUMPRODUCT(Calibracion!$C$11:$C$20,1/(1+EXP(-(Calibracion!$E$11:$E$20+E5))))/Calibracion!$C$21-Calibracion!$C$4</f>
        <v/>
      </c>
      <c r="G5" s="21">
        <f>ABS(F5)</f>
        <v/>
      </c>
      <c r="H5" t="inlineStr">
        <is>
          <t>f(δ fino)</t>
        </is>
      </c>
      <c r="I5" s="22">
        <f>SUMPRODUCT(Calibracion!$C$11:$C$20,1/(1+EXP(-(Calibracion!$E$11:$E$20+I4))))/Calibracion!$C$21-Calibracion!$C$4</f>
        <v/>
      </c>
    </row>
    <row r="6">
      <c r="A6" s="8">
        <f>A5+0.01</f>
        <v/>
      </c>
      <c r="B6" s="21">
        <f>SUMPRODUCT(Calibracion!$C$11:$C$20,1/(1+EXP(-(Calibracion!$E$11:$E$20+A6))))/Calibracion!$C$21-Calibracion!$C$4</f>
        <v/>
      </c>
      <c r="C6" s="21">
        <f>ABS(B6)</f>
        <v/>
      </c>
      <c r="E6" s="4">
        <f>E5+0.0001</f>
        <v/>
      </c>
      <c r="F6" s="21">
        <f>SUMPRODUCT(Calibracion!$C$11:$C$20,1/(1+EXP(-(Calibracion!$E$11:$E$20+E6))))/Calibracion!$C$21-Calibracion!$C$4</f>
        <v/>
      </c>
      <c r="G6" s="21">
        <f>ABS(F6)</f>
        <v/>
      </c>
      <c r="H6" t="inlineStr">
        <is>
          <t>f'(δ fino) = media ponderada de p(1−p)</t>
        </is>
      </c>
      <c r="I6" s="23">
        <f>SUMPRODUCT(Calibracion!$C$11:$C$20,1/(1+EXP(-(Calibracion!$E$11:$E$20+I4))),1-1/(1+EXP(-(Calibracion!$E$11:$E$20+I4))))/Calibracion!$C$21</f>
        <v/>
      </c>
    </row>
    <row r="7">
      <c r="A7" s="8">
        <f>A6+0.01</f>
        <v/>
      </c>
      <c r="B7" s="21">
        <f>SUMPRODUCT(Calibracion!$C$11:$C$20,1/(1+EXP(-(Calibracion!$E$11:$E$20+A7))))/Calibracion!$C$21-Calibracion!$C$4</f>
        <v/>
      </c>
      <c r="C7" s="21">
        <f>ABS(B7)</f>
        <v/>
      </c>
      <c r="E7" s="4">
        <f>E6+0.0001</f>
        <v/>
      </c>
      <c r="F7" s="21">
        <f>SUMPRODUCT(Calibracion!$C$11:$C$20,1/(1+EXP(-(Calibracion!$E$11:$E$20+E7))))/Calibracion!$C$21-Calibracion!$C$4</f>
        <v/>
      </c>
      <c r="G7" s="21">
        <f>ABS(F7)</f>
        <v/>
      </c>
      <c r="H7" t="inlineStr">
        <is>
          <t>¿Raíz dentro de ±3? (f cambia de signo)</t>
        </is>
      </c>
      <c r="I7">
        <f>IF(B4*B604&lt;0,"sí","NO: ampliar grilla")</f>
        <v/>
      </c>
    </row>
    <row r="8">
      <c r="A8" s="8">
        <f>A7+0.01</f>
        <v/>
      </c>
      <c r="B8" s="21">
        <f>SUMPRODUCT(Calibracion!$C$11:$C$20,1/(1+EXP(-(Calibracion!$E$11:$E$20+A8))))/Calibracion!$C$21-Calibracion!$C$4</f>
        <v/>
      </c>
      <c r="C8" s="21">
        <f>ABS(B8)</f>
        <v/>
      </c>
      <c r="E8" s="4">
        <f>E7+0.0001</f>
        <v/>
      </c>
      <c r="F8" s="21">
        <f>SUMPRODUCT(Calibracion!$C$11:$C$20,1/(1+EXP(-(Calibracion!$E$11:$E$20+E8))))/Calibracion!$C$21-Calibracion!$C$4</f>
        <v/>
      </c>
      <c r="G8" s="21">
        <f>ABS(F8)</f>
        <v/>
      </c>
    </row>
    <row r="9">
      <c r="A9" s="8">
        <f>A8+0.01</f>
        <v/>
      </c>
      <c r="B9" s="21">
        <f>SUMPRODUCT(Calibracion!$C$11:$C$20,1/(1+EXP(-(Calibracion!$E$11:$E$20+A9))))/Calibracion!$C$21-Calibracion!$C$4</f>
        <v/>
      </c>
      <c r="C9" s="21">
        <f>ABS(B9)</f>
        <v/>
      </c>
      <c r="E9" s="4">
        <f>E8+0.0001</f>
        <v/>
      </c>
      <c r="F9" s="21">
        <f>SUMPRODUCT(Calibracion!$C$11:$C$20,1/(1+EXP(-(Calibracion!$E$11:$E$20+E9))))/Calibracion!$C$21-Calibracion!$C$4</f>
        <v/>
      </c>
      <c r="G9" s="21">
        <f>ABS(F9)</f>
        <v/>
      </c>
    </row>
    <row r="10">
      <c r="A10" s="8">
        <f>A9+0.01</f>
        <v/>
      </c>
      <c r="B10" s="21">
        <f>SUMPRODUCT(Calibracion!$C$11:$C$20,1/(1+EXP(-(Calibracion!$E$11:$E$20+A10))))/Calibracion!$C$21-Calibracion!$C$4</f>
        <v/>
      </c>
      <c r="C10" s="21">
        <f>ABS(B10)</f>
        <v/>
      </c>
      <c r="E10" s="4">
        <f>E9+0.0001</f>
        <v/>
      </c>
      <c r="F10" s="21">
        <f>SUMPRODUCT(Calibracion!$C$11:$C$20,1/(1+EXP(-(Calibracion!$E$11:$E$20+E10))))/Calibracion!$C$21-Calibracion!$C$4</f>
        <v/>
      </c>
      <c r="G10" s="21">
        <f>ABS(F10)</f>
        <v/>
      </c>
    </row>
    <row r="11">
      <c r="A11" s="8">
        <f>A10+0.01</f>
        <v/>
      </c>
      <c r="B11" s="21">
        <f>SUMPRODUCT(Calibracion!$C$11:$C$20,1/(1+EXP(-(Calibracion!$E$11:$E$20+A11))))/Calibracion!$C$21-Calibracion!$C$4</f>
        <v/>
      </c>
      <c r="C11" s="21">
        <f>ABS(B11)</f>
        <v/>
      </c>
      <c r="E11" s="4">
        <f>E10+0.0001</f>
        <v/>
      </c>
      <c r="F11" s="21">
        <f>SUMPRODUCT(Calibracion!$C$11:$C$20,1/(1+EXP(-(Calibracion!$E$11:$E$20+E11))))/Calibracion!$C$21-Calibracion!$C$4</f>
        <v/>
      </c>
      <c r="G11" s="21">
        <f>ABS(F11)</f>
        <v/>
      </c>
    </row>
    <row r="12">
      <c r="A12" s="8">
        <f>A11+0.01</f>
        <v/>
      </c>
      <c r="B12" s="21">
        <f>SUMPRODUCT(Calibracion!$C$11:$C$20,1/(1+EXP(-(Calibracion!$E$11:$E$20+A12))))/Calibracion!$C$21-Calibracion!$C$4</f>
        <v/>
      </c>
      <c r="C12" s="21">
        <f>ABS(B12)</f>
        <v/>
      </c>
      <c r="E12" s="4">
        <f>E11+0.0001</f>
        <v/>
      </c>
      <c r="F12" s="21">
        <f>SUMPRODUCT(Calibracion!$C$11:$C$20,1/(1+EXP(-(Calibracion!$E$11:$E$20+E12))))/Calibracion!$C$21-Calibracion!$C$4</f>
        <v/>
      </c>
      <c r="G12" s="21">
        <f>ABS(F12)</f>
        <v/>
      </c>
    </row>
    <row r="13">
      <c r="A13" s="8">
        <f>A12+0.01</f>
        <v/>
      </c>
      <c r="B13" s="21">
        <f>SUMPRODUCT(Calibracion!$C$11:$C$20,1/(1+EXP(-(Calibracion!$E$11:$E$20+A13))))/Calibracion!$C$21-Calibracion!$C$4</f>
        <v/>
      </c>
      <c r="C13" s="21">
        <f>ABS(B13)</f>
        <v/>
      </c>
      <c r="E13" s="4">
        <f>E12+0.0001</f>
        <v/>
      </c>
      <c r="F13" s="21">
        <f>SUMPRODUCT(Calibracion!$C$11:$C$20,1/(1+EXP(-(Calibracion!$E$11:$E$20+E13))))/Calibracion!$C$21-Calibracion!$C$4</f>
        <v/>
      </c>
      <c r="G13" s="21">
        <f>ABS(F13)</f>
        <v/>
      </c>
    </row>
    <row r="14">
      <c r="A14" s="8">
        <f>A13+0.01</f>
        <v/>
      </c>
      <c r="B14" s="21">
        <f>SUMPRODUCT(Calibracion!$C$11:$C$20,1/(1+EXP(-(Calibracion!$E$11:$E$20+A14))))/Calibracion!$C$21-Calibracion!$C$4</f>
        <v/>
      </c>
      <c r="C14" s="21">
        <f>ABS(B14)</f>
        <v/>
      </c>
      <c r="E14" s="4">
        <f>E13+0.0001</f>
        <v/>
      </c>
      <c r="F14" s="21">
        <f>SUMPRODUCT(Calibracion!$C$11:$C$20,1/(1+EXP(-(Calibracion!$E$11:$E$20+E14))))/Calibracion!$C$21-Calibracion!$C$4</f>
        <v/>
      </c>
      <c r="G14" s="21">
        <f>ABS(F14)</f>
        <v/>
      </c>
    </row>
    <row r="15">
      <c r="A15" s="8">
        <f>A14+0.01</f>
        <v/>
      </c>
      <c r="B15" s="21">
        <f>SUMPRODUCT(Calibracion!$C$11:$C$20,1/(1+EXP(-(Calibracion!$E$11:$E$20+A15))))/Calibracion!$C$21-Calibracion!$C$4</f>
        <v/>
      </c>
      <c r="C15" s="21">
        <f>ABS(B15)</f>
        <v/>
      </c>
      <c r="E15" s="4">
        <f>E14+0.0001</f>
        <v/>
      </c>
      <c r="F15" s="21">
        <f>SUMPRODUCT(Calibracion!$C$11:$C$20,1/(1+EXP(-(Calibracion!$E$11:$E$20+E15))))/Calibracion!$C$21-Calibracion!$C$4</f>
        <v/>
      </c>
      <c r="G15" s="21">
        <f>ABS(F15)</f>
        <v/>
      </c>
    </row>
    <row r="16">
      <c r="A16" s="8">
        <f>A15+0.01</f>
        <v/>
      </c>
      <c r="B16" s="21">
        <f>SUMPRODUCT(Calibracion!$C$11:$C$20,1/(1+EXP(-(Calibracion!$E$11:$E$20+A16))))/Calibracion!$C$21-Calibracion!$C$4</f>
        <v/>
      </c>
      <c r="C16" s="21">
        <f>ABS(B16)</f>
        <v/>
      </c>
      <c r="E16" s="4">
        <f>E15+0.0001</f>
        <v/>
      </c>
      <c r="F16" s="21">
        <f>SUMPRODUCT(Calibracion!$C$11:$C$20,1/(1+EXP(-(Calibracion!$E$11:$E$20+E16))))/Calibracion!$C$21-Calibracion!$C$4</f>
        <v/>
      </c>
      <c r="G16" s="21">
        <f>ABS(F16)</f>
        <v/>
      </c>
    </row>
    <row r="17">
      <c r="A17" s="8">
        <f>A16+0.01</f>
        <v/>
      </c>
      <c r="B17" s="21">
        <f>SUMPRODUCT(Calibracion!$C$11:$C$20,1/(1+EXP(-(Calibracion!$E$11:$E$20+A17))))/Calibracion!$C$21-Calibracion!$C$4</f>
        <v/>
      </c>
      <c r="C17" s="21">
        <f>ABS(B17)</f>
        <v/>
      </c>
      <c r="E17" s="4">
        <f>E16+0.0001</f>
        <v/>
      </c>
      <c r="F17" s="21">
        <f>SUMPRODUCT(Calibracion!$C$11:$C$20,1/(1+EXP(-(Calibracion!$E$11:$E$20+E17))))/Calibracion!$C$21-Calibracion!$C$4</f>
        <v/>
      </c>
      <c r="G17" s="21">
        <f>ABS(F17)</f>
        <v/>
      </c>
    </row>
    <row r="18">
      <c r="A18" s="8">
        <f>A17+0.01</f>
        <v/>
      </c>
      <c r="B18" s="21">
        <f>SUMPRODUCT(Calibracion!$C$11:$C$20,1/(1+EXP(-(Calibracion!$E$11:$E$20+A18))))/Calibracion!$C$21-Calibracion!$C$4</f>
        <v/>
      </c>
      <c r="C18" s="21">
        <f>ABS(B18)</f>
        <v/>
      </c>
      <c r="E18" s="4">
        <f>E17+0.0001</f>
        <v/>
      </c>
      <c r="F18" s="21">
        <f>SUMPRODUCT(Calibracion!$C$11:$C$20,1/(1+EXP(-(Calibracion!$E$11:$E$20+E18))))/Calibracion!$C$21-Calibracion!$C$4</f>
        <v/>
      </c>
      <c r="G18" s="21">
        <f>ABS(F18)</f>
        <v/>
      </c>
    </row>
    <row r="19">
      <c r="A19" s="8">
        <f>A18+0.01</f>
        <v/>
      </c>
      <c r="B19" s="21">
        <f>SUMPRODUCT(Calibracion!$C$11:$C$20,1/(1+EXP(-(Calibracion!$E$11:$E$20+A19))))/Calibracion!$C$21-Calibracion!$C$4</f>
        <v/>
      </c>
      <c r="C19" s="21">
        <f>ABS(B19)</f>
        <v/>
      </c>
      <c r="E19" s="4">
        <f>E18+0.0001</f>
        <v/>
      </c>
      <c r="F19" s="21">
        <f>SUMPRODUCT(Calibracion!$C$11:$C$20,1/(1+EXP(-(Calibracion!$E$11:$E$20+E19))))/Calibracion!$C$21-Calibracion!$C$4</f>
        <v/>
      </c>
      <c r="G19" s="21">
        <f>ABS(F19)</f>
        <v/>
      </c>
    </row>
    <row r="20">
      <c r="A20" s="8">
        <f>A19+0.01</f>
        <v/>
      </c>
      <c r="B20" s="21">
        <f>SUMPRODUCT(Calibracion!$C$11:$C$20,1/(1+EXP(-(Calibracion!$E$11:$E$20+A20))))/Calibracion!$C$21-Calibracion!$C$4</f>
        <v/>
      </c>
      <c r="C20" s="21">
        <f>ABS(B20)</f>
        <v/>
      </c>
      <c r="E20" s="4">
        <f>E19+0.0001</f>
        <v/>
      </c>
      <c r="F20" s="21">
        <f>SUMPRODUCT(Calibracion!$C$11:$C$20,1/(1+EXP(-(Calibracion!$E$11:$E$20+E20))))/Calibracion!$C$21-Calibracion!$C$4</f>
        <v/>
      </c>
      <c r="G20" s="21">
        <f>ABS(F20)</f>
        <v/>
      </c>
    </row>
    <row r="21">
      <c r="A21" s="8">
        <f>A20+0.01</f>
        <v/>
      </c>
      <c r="B21" s="21">
        <f>SUMPRODUCT(Calibracion!$C$11:$C$20,1/(1+EXP(-(Calibracion!$E$11:$E$20+A21))))/Calibracion!$C$21-Calibracion!$C$4</f>
        <v/>
      </c>
      <c r="C21" s="21">
        <f>ABS(B21)</f>
        <v/>
      </c>
      <c r="E21" s="4">
        <f>E20+0.0001</f>
        <v/>
      </c>
      <c r="F21" s="21">
        <f>SUMPRODUCT(Calibracion!$C$11:$C$20,1/(1+EXP(-(Calibracion!$E$11:$E$20+E21))))/Calibracion!$C$21-Calibracion!$C$4</f>
        <v/>
      </c>
      <c r="G21" s="21">
        <f>ABS(F21)</f>
        <v/>
      </c>
    </row>
    <row r="22">
      <c r="A22" s="8">
        <f>A21+0.01</f>
        <v/>
      </c>
      <c r="B22" s="21">
        <f>SUMPRODUCT(Calibracion!$C$11:$C$20,1/(1+EXP(-(Calibracion!$E$11:$E$20+A22))))/Calibracion!$C$21-Calibracion!$C$4</f>
        <v/>
      </c>
      <c r="C22" s="21">
        <f>ABS(B22)</f>
        <v/>
      </c>
      <c r="E22" s="4">
        <f>E21+0.0001</f>
        <v/>
      </c>
      <c r="F22" s="21">
        <f>SUMPRODUCT(Calibracion!$C$11:$C$20,1/(1+EXP(-(Calibracion!$E$11:$E$20+E22))))/Calibracion!$C$21-Calibracion!$C$4</f>
        <v/>
      </c>
      <c r="G22" s="21">
        <f>ABS(F22)</f>
        <v/>
      </c>
    </row>
    <row r="23">
      <c r="A23" s="8">
        <f>A22+0.01</f>
        <v/>
      </c>
      <c r="B23" s="21">
        <f>SUMPRODUCT(Calibracion!$C$11:$C$20,1/(1+EXP(-(Calibracion!$E$11:$E$20+A23))))/Calibracion!$C$21-Calibracion!$C$4</f>
        <v/>
      </c>
      <c r="C23" s="21">
        <f>ABS(B23)</f>
        <v/>
      </c>
      <c r="E23" s="4">
        <f>E22+0.0001</f>
        <v/>
      </c>
      <c r="F23" s="21">
        <f>SUMPRODUCT(Calibracion!$C$11:$C$20,1/(1+EXP(-(Calibracion!$E$11:$E$20+E23))))/Calibracion!$C$21-Calibracion!$C$4</f>
        <v/>
      </c>
      <c r="G23" s="21">
        <f>ABS(F23)</f>
        <v/>
      </c>
    </row>
    <row r="24">
      <c r="A24" s="8">
        <f>A23+0.01</f>
        <v/>
      </c>
      <c r="B24" s="21">
        <f>SUMPRODUCT(Calibracion!$C$11:$C$20,1/(1+EXP(-(Calibracion!$E$11:$E$20+A24))))/Calibracion!$C$21-Calibracion!$C$4</f>
        <v/>
      </c>
      <c r="C24" s="21">
        <f>ABS(B24)</f>
        <v/>
      </c>
      <c r="E24" s="4">
        <f>E23+0.0001</f>
        <v/>
      </c>
      <c r="F24" s="21">
        <f>SUMPRODUCT(Calibracion!$C$11:$C$20,1/(1+EXP(-(Calibracion!$E$11:$E$20+E24))))/Calibracion!$C$21-Calibracion!$C$4</f>
        <v/>
      </c>
      <c r="G24" s="21">
        <f>ABS(F24)</f>
        <v/>
      </c>
    </row>
    <row r="25">
      <c r="A25" s="8">
        <f>A24+0.01</f>
        <v/>
      </c>
      <c r="B25" s="21">
        <f>SUMPRODUCT(Calibracion!$C$11:$C$20,1/(1+EXP(-(Calibracion!$E$11:$E$20+A25))))/Calibracion!$C$21-Calibracion!$C$4</f>
        <v/>
      </c>
      <c r="C25" s="21">
        <f>ABS(B25)</f>
        <v/>
      </c>
      <c r="E25" s="4">
        <f>E24+0.0001</f>
        <v/>
      </c>
      <c r="F25" s="21">
        <f>SUMPRODUCT(Calibracion!$C$11:$C$20,1/(1+EXP(-(Calibracion!$E$11:$E$20+E25))))/Calibracion!$C$21-Calibracion!$C$4</f>
        <v/>
      </c>
      <c r="G25" s="21">
        <f>ABS(F25)</f>
        <v/>
      </c>
    </row>
    <row r="26">
      <c r="A26" s="8">
        <f>A25+0.01</f>
        <v/>
      </c>
      <c r="B26" s="21">
        <f>SUMPRODUCT(Calibracion!$C$11:$C$20,1/(1+EXP(-(Calibracion!$E$11:$E$20+A26))))/Calibracion!$C$21-Calibracion!$C$4</f>
        <v/>
      </c>
      <c r="C26" s="21">
        <f>ABS(B26)</f>
        <v/>
      </c>
      <c r="E26" s="4">
        <f>E25+0.0001</f>
        <v/>
      </c>
      <c r="F26" s="21">
        <f>SUMPRODUCT(Calibracion!$C$11:$C$20,1/(1+EXP(-(Calibracion!$E$11:$E$20+E26))))/Calibracion!$C$21-Calibracion!$C$4</f>
        <v/>
      </c>
      <c r="G26" s="21">
        <f>ABS(F26)</f>
        <v/>
      </c>
    </row>
    <row r="27">
      <c r="A27" s="8">
        <f>A26+0.01</f>
        <v/>
      </c>
      <c r="B27" s="21">
        <f>SUMPRODUCT(Calibracion!$C$11:$C$20,1/(1+EXP(-(Calibracion!$E$11:$E$20+A27))))/Calibracion!$C$21-Calibracion!$C$4</f>
        <v/>
      </c>
      <c r="C27" s="21">
        <f>ABS(B27)</f>
        <v/>
      </c>
      <c r="E27" s="4">
        <f>E26+0.0001</f>
        <v/>
      </c>
      <c r="F27" s="21">
        <f>SUMPRODUCT(Calibracion!$C$11:$C$20,1/(1+EXP(-(Calibracion!$E$11:$E$20+E27))))/Calibracion!$C$21-Calibracion!$C$4</f>
        <v/>
      </c>
      <c r="G27" s="21">
        <f>ABS(F27)</f>
        <v/>
      </c>
    </row>
    <row r="28">
      <c r="A28" s="8">
        <f>A27+0.01</f>
        <v/>
      </c>
      <c r="B28" s="21">
        <f>SUMPRODUCT(Calibracion!$C$11:$C$20,1/(1+EXP(-(Calibracion!$E$11:$E$20+A28))))/Calibracion!$C$21-Calibracion!$C$4</f>
        <v/>
      </c>
      <c r="C28" s="21">
        <f>ABS(B28)</f>
        <v/>
      </c>
      <c r="E28" s="4">
        <f>E27+0.0001</f>
        <v/>
      </c>
      <c r="F28" s="21">
        <f>SUMPRODUCT(Calibracion!$C$11:$C$20,1/(1+EXP(-(Calibracion!$E$11:$E$20+E28))))/Calibracion!$C$21-Calibracion!$C$4</f>
        <v/>
      </c>
      <c r="G28" s="21">
        <f>ABS(F28)</f>
        <v/>
      </c>
    </row>
    <row r="29">
      <c r="A29" s="8">
        <f>A28+0.01</f>
        <v/>
      </c>
      <c r="B29" s="21">
        <f>SUMPRODUCT(Calibracion!$C$11:$C$20,1/(1+EXP(-(Calibracion!$E$11:$E$20+A29))))/Calibracion!$C$21-Calibracion!$C$4</f>
        <v/>
      </c>
      <c r="C29" s="21">
        <f>ABS(B29)</f>
        <v/>
      </c>
      <c r="E29" s="4">
        <f>E28+0.0001</f>
        <v/>
      </c>
      <c r="F29" s="21">
        <f>SUMPRODUCT(Calibracion!$C$11:$C$20,1/(1+EXP(-(Calibracion!$E$11:$E$20+E29))))/Calibracion!$C$21-Calibracion!$C$4</f>
        <v/>
      </c>
      <c r="G29" s="21">
        <f>ABS(F29)</f>
        <v/>
      </c>
    </row>
    <row r="30">
      <c r="A30" s="8">
        <f>A29+0.01</f>
        <v/>
      </c>
      <c r="B30" s="21">
        <f>SUMPRODUCT(Calibracion!$C$11:$C$20,1/(1+EXP(-(Calibracion!$E$11:$E$20+A30))))/Calibracion!$C$21-Calibracion!$C$4</f>
        <v/>
      </c>
      <c r="C30" s="21">
        <f>ABS(B30)</f>
        <v/>
      </c>
      <c r="E30" s="4">
        <f>E29+0.0001</f>
        <v/>
      </c>
      <c r="F30" s="21">
        <f>SUMPRODUCT(Calibracion!$C$11:$C$20,1/(1+EXP(-(Calibracion!$E$11:$E$20+E30))))/Calibracion!$C$21-Calibracion!$C$4</f>
        <v/>
      </c>
      <c r="G30" s="21">
        <f>ABS(F30)</f>
        <v/>
      </c>
    </row>
    <row r="31">
      <c r="A31" s="8">
        <f>A30+0.01</f>
        <v/>
      </c>
      <c r="B31" s="21">
        <f>SUMPRODUCT(Calibracion!$C$11:$C$20,1/(1+EXP(-(Calibracion!$E$11:$E$20+A31))))/Calibracion!$C$21-Calibracion!$C$4</f>
        <v/>
      </c>
      <c r="C31" s="21">
        <f>ABS(B31)</f>
        <v/>
      </c>
      <c r="E31" s="4">
        <f>E30+0.0001</f>
        <v/>
      </c>
      <c r="F31" s="21">
        <f>SUMPRODUCT(Calibracion!$C$11:$C$20,1/(1+EXP(-(Calibracion!$E$11:$E$20+E31))))/Calibracion!$C$21-Calibracion!$C$4</f>
        <v/>
      </c>
      <c r="G31" s="21">
        <f>ABS(F31)</f>
        <v/>
      </c>
    </row>
    <row r="32">
      <c r="A32" s="8">
        <f>A31+0.01</f>
        <v/>
      </c>
      <c r="B32" s="21">
        <f>SUMPRODUCT(Calibracion!$C$11:$C$20,1/(1+EXP(-(Calibracion!$E$11:$E$20+A32))))/Calibracion!$C$21-Calibracion!$C$4</f>
        <v/>
      </c>
      <c r="C32" s="21">
        <f>ABS(B32)</f>
        <v/>
      </c>
      <c r="E32" s="4">
        <f>E31+0.0001</f>
        <v/>
      </c>
      <c r="F32" s="21">
        <f>SUMPRODUCT(Calibracion!$C$11:$C$20,1/(1+EXP(-(Calibracion!$E$11:$E$20+E32))))/Calibracion!$C$21-Calibracion!$C$4</f>
        <v/>
      </c>
      <c r="G32" s="21">
        <f>ABS(F32)</f>
        <v/>
      </c>
    </row>
    <row r="33">
      <c r="A33" s="8">
        <f>A32+0.01</f>
        <v/>
      </c>
      <c r="B33" s="21">
        <f>SUMPRODUCT(Calibracion!$C$11:$C$20,1/(1+EXP(-(Calibracion!$E$11:$E$20+A33))))/Calibracion!$C$21-Calibracion!$C$4</f>
        <v/>
      </c>
      <c r="C33" s="21">
        <f>ABS(B33)</f>
        <v/>
      </c>
      <c r="E33" s="4">
        <f>E32+0.0001</f>
        <v/>
      </c>
      <c r="F33" s="21">
        <f>SUMPRODUCT(Calibracion!$C$11:$C$20,1/(1+EXP(-(Calibracion!$E$11:$E$20+E33))))/Calibracion!$C$21-Calibracion!$C$4</f>
        <v/>
      </c>
      <c r="G33" s="21">
        <f>ABS(F33)</f>
        <v/>
      </c>
    </row>
    <row r="34">
      <c r="A34" s="8">
        <f>A33+0.01</f>
        <v/>
      </c>
      <c r="B34" s="21">
        <f>SUMPRODUCT(Calibracion!$C$11:$C$20,1/(1+EXP(-(Calibracion!$E$11:$E$20+A34))))/Calibracion!$C$21-Calibracion!$C$4</f>
        <v/>
      </c>
      <c r="C34" s="21">
        <f>ABS(B34)</f>
        <v/>
      </c>
      <c r="E34" s="4">
        <f>E33+0.0001</f>
        <v/>
      </c>
      <c r="F34" s="21">
        <f>SUMPRODUCT(Calibracion!$C$11:$C$20,1/(1+EXP(-(Calibracion!$E$11:$E$20+E34))))/Calibracion!$C$21-Calibracion!$C$4</f>
        <v/>
      </c>
      <c r="G34" s="21">
        <f>ABS(F34)</f>
        <v/>
      </c>
    </row>
    <row r="35">
      <c r="A35" s="8">
        <f>A34+0.01</f>
        <v/>
      </c>
      <c r="B35" s="21">
        <f>SUMPRODUCT(Calibracion!$C$11:$C$20,1/(1+EXP(-(Calibracion!$E$11:$E$20+A35))))/Calibracion!$C$21-Calibracion!$C$4</f>
        <v/>
      </c>
      <c r="C35" s="21">
        <f>ABS(B35)</f>
        <v/>
      </c>
      <c r="E35" s="4">
        <f>E34+0.0001</f>
        <v/>
      </c>
      <c r="F35" s="21">
        <f>SUMPRODUCT(Calibracion!$C$11:$C$20,1/(1+EXP(-(Calibracion!$E$11:$E$20+E35))))/Calibracion!$C$21-Calibracion!$C$4</f>
        <v/>
      </c>
      <c r="G35" s="21">
        <f>ABS(F35)</f>
        <v/>
      </c>
    </row>
    <row r="36">
      <c r="A36" s="8">
        <f>A35+0.01</f>
        <v/>
      </c>
      <c r="B36" s="21">
        <f>SUMPRODUCT(Calibracion!$C$11:$C$20,1/(1+EXP(-(Calibracion!$E$11:$E$20+A36))))/Calibracion!$C$21-Calibracion!$C$4</f>
        <v/>
      </c>
      <c r="C36" s="21">
        <f>ABS(B36)</f>
        <v/>
      </c>
      <c r="E36" s="4">
        <f>E35+0.0001</f>
        <v/>
      </c>
      <c r="F36" s="21">
        <f>SUMPRODUCT(Calibracion!$C$11:$C$20,1/(1+EXP(-(Calibracion!$E$11:$E$20+E36))))/Calibracion!$C$21-Calibracion!$C$4</f>
        <v/>
      </c>
      <c r="G36" s="21">
        <f>ABS(F36)</f>
        <v/>
      </c>
    </row>
    <row r="37">
      <c r="A37" s="8">
        <f>A36+0.01</f>
        <v/>
      </c>
      <c r="B37" s="21">
        <f>SUMPRODUCT(Calibracion!$C$11:$C$20,1/(1+EXP(-(Calibracion!$E$11:$E$20+A37))))/Calibracion!$C$21-Calibracion!$C$4</f>
        <v/>
      </c>
      <c r="C37" s="21">
        <f>ABS(B37)</f>
        <v/>
      </c>
      <c r="E37" s="4">
        <f>E36+0.0001</f>
        <v/>
      </c>
      <c r="F37" s="21">
        <f>SUMPRODUCT(Calibracion!$C$11:$C$20,1/(1+EXP(-(Calibracion!$E$11:$E$20+E37))))/Calibracion!$C$21-Calibracion!$C$4</f>
        <v/>
      </c>
      <c r="G37" s="21">
        <f>ABS(F37)</f>
        <v/>
      </c>
    </row>
    <row r="38">
      <c r="A38" s="8">
        <f>A37+0.01</f>
        <v/>
      </c>
      <c r="B38" s="21">
        <f>SUMPRODUCT(Calibracion!$C$11:$C$20,1/(1+EXP(-(Calibracion!$E$11:$E$20+A38))))/Calibracion!$C$21-Calibracion!$C$4</f>
        <v/>
      </c>
      <c r="C38" s="21">
        <f>ABS(B38)</f>
        <v/>
      </c>
      <c r="E38" s="4">
        <f>E37+0.0001</f>
        <v/>
      </c>
      <c r="F38" s="21">
        <f>SUMPRODUCT(Calibracion!$C$11:$C$20,1/(1+EXP(-(Calibracion!$E$11:$E$20+E38))))/Calibracion!$C$21-Calibracion!$C$4</f>
        <v/>
      </c>
      <c r="G38" s="21">
        <f>ABS(F38)</f>
        <v/>
      </c>
    </row>
    <row r="39">
      <c r="A39" s="8">
        <f>A38+0.01</f>
        <v/>
      </c>
      <c r="B39" s="21">
        <f>SUMPRODUCT(Calibracion!$C$11:$C$20,1/(1+EXP(-(Calibracion!$E$11:$E$20+A39))))/Calibracion!$C$21-Calibracion!$C$4</f>
        <v/>
      </c>
      <c r="C39" s="21">
        <f>ABS(B39)</f>
        <v/>
      </c>
      <c r="E39" s="4">
        <f>E38+0.0001</f>
        <v/>
      </c>
      <c r="F39" s="21">
        <f>SUMPRODUCT(Calibracion!$C$11:$C$20,1/(1+EXP(-(Calibracion!$E$11:$E$20+E39))))/Calibracion!$C$21-Calibracion!$C$4</f>
        <v/>
      </c>
      <c r="G39" s="21">
        <f>ABS(F39)</f>
        <v/>
      </c>
    </row>
    <row r="40">
      <c r="A40" s="8">
        <f>A39+0.01</f>
        <v/>
      </c>
      <c r="B40" s="21">
        <f>SUMPRODUCT(Calibracion!$C$11:$C$20,1/(1+EXP(-(Calibracion!$E$11:$E$20+A40))))/Calibracion!$C$21-Calibracion!$C$4</f>
        <v/>
      </c>
      <c r="C40" s="21">
        <f>ABS(B40)</f>
        <v/>
      </c>
      <c r="E40" s="4">
        <f>E39+0.0001</f>
        <v/>
      </c>
      <c r="F40" s="21">
        <f>SUMPRODUCT(Calibracion!$C$11:$C$20,1/(1+EXP(-(Calibracion!$E$11:$E$20+E40))))/Calibracion!$C$21-Calibracion!$C$4</f>
        <v/>
      </c>
      <c r="G40" s="21">
        <f>ABS(F40)</f>
        <v/>
      </c>
    </row>
    <row r="41">
      <c r="A41" s="8">
        <f>A40+0.01</f>
        <v/>
      </c>
      <c r="B41" s="21">
        <f>SUMPRODUCT(Calibracion!$C$11:$C$20,1/(1+EXP(-(Calibracion!$E$11:$E$20+A41))))/Calibracion!$C$21-Calibracion!$C$4</f>
        <v/>
      </c>
      <c r="C41" s="21">
        <f>ABS(B41)</f>
        <v/>
      </c>
      <c r="E41" s="4">
        <f>E40+0.0001</f>
        <v/>
      </c>
      <c r="F41" s="21">
        <f>SUMPRODUCT(Calibracion!$C$11:$C$20,1/(1+EXP(-(Calibracion!$E$11:$E$20+E41))))/Calibracion!$C$21-Calibracion!$C$4</f>
        <v/>
      </c>
      <c r="G41" s="21">
        <f>ABS(F41)</f>
        <v/>
      </c>
    </row>
    <row r="42">
      <c r="A42" s="8">
        <f>A41+0.01</f>
        <v/>
      </c>
      <c r="B42" s="21">
        <f>SUMPRODUCT(Calibracion!$C$11:$C$20,1/(1+EXP(-(Calibracion!$E$11:$E$20+A42))))/Calibracion!$C$21-Calibracion!$C$4</f>
        <v/>
      </c>
      <c r="C42" s="21">
        <f>ABS(B42)</f>
        <v/>
      </c>
      <c r="E42" s="4">
        <f>E41+0.0001</f>
        <v/>
      </c>
      <c r="F42" s="21">
        <f>SUMPRODUCT(Calibracion!$C$11:$C$20,1/(1+EXP(-(Calibracion!$E$11:$E$20+E42))))/Calibracion!$C$21-Calibracion!$C$4</f>
        <v/>
      </c>
      <c r="G42" s="21">
        <f>ABS(F42)</f>
        <v/>
      </c>
    </row>
    <row r="43">
      <c r="A43" s="8">
        <f>A42+0.01</f>
        <v/>
      </c>
      <c r="B43" s="21">
        <f>SUMPRODUCT(Calibracion!$C$11:$C$20,1/(1+EXP(-(Calibracion!$E$11:$E$20+A43))))/Calibracion!$C$21-Calibracion!$C$4</f>
        <v/>
      </c>
      <c r="C43" s="21">
        <f>ABS(B43)</f>
        <v/>
      </c>
      <c r="E43" s="4">
        <f>E42+0.0001</f>
        <v/>
      </c>
      <c r="F43" s="21">
        <f>SUMPRODUCT(Calibracion!$C$11:$C$20,1/(1+EXP(-(Calibracion!$E$11:$E$20+E43))))/Calibracion!$C$21-Calibracion!$C$4</f>
        <v/>
      </c>
      <c r="G43" s="21">
        <f>ABS(F43)</f>
        <v/>
      </c>
    </row>
    <row r="44">
      <c r="A44" s="8">
        <f>A43+0.01</f>
        <v/>
      </c>
      <c r="B44" s="21">
        <f>SUMPRODUCT(Calibracion!$C$11:$C$20,1/(1+EXP(-(Calibracion!$E$11:$E$20+A44))))/Calibracion!$C$21-Calibracion!$C$4</f>
        <v/>
      </c>
      <c r="C44" s="21">
        <f>ABS(B44)</f>
        <v/>
      </c>
      <c r="E44" s="4">
        <f>E43+0.0001</f>
        <v/>
      </c>
      <c r="F44" s="21">
        <f>SUMPRODUCT(Calibracion!$C$11:$C$20,1/(1+EXP(-(Calibracion!$E$11:$E$20+E44))))/Calibracion!$C$21-Calibracion!$C$4</f>
        <v/>
      </c>
      <c r="G44" s="21">
        <f>ABS(F44)</f>
        <v/>
      </c>
    </row>
    <row r="45">
      <c r="A45" s="8">
        <f>A44+0.01</f>
        <v/>
      </c>
      <c r="B45" s="21">
        <f>SUMPRODUCT(Calibracion!$C$11:$C$20,1/(1+EXP(-(Calibracion!$E$11:$E$20+A45))))/Calibracion!$C$21-Calibracion!$C$4</f>
        <v/>
      </c>
      <c r="C45" s="21">
        <f>ABS(B45)</f>
        <v/>
      </c>
      <c r="E45" s="4">
        <f>E44+0.0001</f>
        <v/>
      </c>
      <c r="F45" s="21">
        <f>SUMPRODUCT(Calibracion!$C$11:$C$20,1/(1+EXP(-(Calibracion!$E$11:$E$20+E45))))/Calibracion!$C$21-Calibracion!$C$4</f>
        <v/>
      </c>
      <c r="G45" s="21">
        <f>ABS(F45)</f>
        <v/>
      </c>
    </row>
    <row r="46">
      <c r="A46" s="8">
        <f>A45+0.01</f>
        <v/>
      </c>
      <c r="B46" s="21">
        <f>SUMPRODUCT(Calibracion!$C$11:$C$20,1/(1+EXP(-(Calibracion!$E$11:$E$20+A46))))/Calibracion!$C$21-Calibracion!$C$4</f>
        <v/>
      </c>
      <c r="C46" s="21">
        <f>ABS(B46)</f>
        <v/>
      </c>
      <c r="E46" s="4">
        <f>E45+0.0001</f>
        <v/>
      </c>
      <c r="F46" s="21">
        <f>SUMPRODUCT(Calibracion!$C$11:$C$20,1/(1+EXP(-(Calibracion!$E$11:$E$20+E46))))/Calibracion!$C$21-Calibracion!$C$4</f>
        <v/>
      </c>
      <c r="G46" s="21">
        <f>ABS(F46)</f>
        <v/>
      </c>
    </row>
    <row r="47">
      <c r="A47" s="8">
        <f>A46+0.01</f>
        <v/>
      </c>
      <c r="B47" s="21">
        <f>SUMPRODUCT(Calibracion!$C$11:$C$20,1/(1+EXP(-(Calibracion!$E$11:$E$20+A47))))/Calibracion!$C$21-Calibracion!$C$4</f>
        <v/>
      </c>
      <c r="C47" s="21">
        <f>ABS(B47)</f>
        <v/>
      </c>
      <c r="E47" s="4">
        <f>E46+0.0001</f>
        <v/>
      </c>
      <c r="F47" s="21">
        <f>SUMPRODUCT(Calibracion!$C$11:$C$20,1/(1+EXP(-(Calibracion!$E$11:$E$20+E47))))/Calibracion!$C$21-Calibracion!$C$4</f>
        <v/>
      </c>
      <c r="G47" s="21">
        <f>ABS(F47)</f>
        <v/>
      </c>
    </row>
    <row r="48">
      <c r="A48" s="8">
        <f>A47+0.01</f>
        <v/>
      </c>
      <c r="B48" s="21">
        <f>SUMPRODUCT(Calibracion!$C$11:$C$20,1/(1+EXP(-(Calibracion!$E$11:$E$20+A48))))/Calibracion!$C$21-Calibracion!$C$4</f>
        <v/>
      </c>
      <c r="C48" s="21">
        <f>ABS(B48)</f>
        <v/>
      </c>
      <c r="E48" s="4">
        <f>E47+0.0001</f>
        <v/>
      </c>
      <c r="F48" s="21">
        <f>SUMPRODUCT(Calibracion!$C$11:$C$20,1/(1+EXP(-(Calibracion!$E$11:$E$20+E48))))/Calibracion!$C$21-Calibracion!$C$4</f>
        <v/>
      </c>
      <c r="G48" s="21">
        <f>ABS(F48)</f>
        <v/>
      </c>
    </row>
    <row r="49">
      <c r="A49" s="8">
        <f>A48+0.01</f>
        <v/>
      </c>
      <c r="B49" s="21">
        <f>SUMPRODUCT(Calibracion!$C$11:$C$20,1/(1+EXP(-(Calibracion!$E$11:$E$20+A49))))/Calibracion!$C$21-Calibracion!$C$4</f>
        <v/>
      </c>
      <c r="C49" s="21">
        <f>ABS(B49)</f>
        <v/>
      </c>
      <c r="E49" s="4">
        <f>E48+0.0001</f>
        <v/>
      </c>
      <c r="F49" s="21">
        <f>SUMPRODUCT(Calibracion!$C$11:$C$20,1/(1+EXP(-(Calibracion!$E$11:$E$20+E49))))/Calibracion!$C$21-Calibracion!$C$4</f>
        <v/>
      </c>
      <c r="G49" s="21">
        <f>ABS(F49)</f>
        <v/>
      </c>
    </row>
    <row r="50">
      <c r="A50" s="8">
        <f>A49+0.01</f>
        <v/>
      </c>
      <c r="B50" s="21">
        <f>SUMPRODUCT(Calibracion!$C$11:$C$20,1/(1+EXP(-(Calibracion!$E$11:$E$20+A50))))/Calibracion!$C$21-Calibracion!$C$4</f>
        <v/>
      </c>
      <c r="C50" s="21">
        <f>ABS(B50)</f>
        <v/>
      </c>
      <c r="E50" s="4">
        <f>E49+0.0001</f>
        <v/>
      </c>
      <c r="F50" s="21">
        <f>SUMPRODUCT(Calibracion!$C$11:$C$20,1/(1+EXP(-(Calibracion!$E$11:$E$20+E50))))/Calibracion!$C$21-Calibracion!$C$4</f>
        <v/>
      </c>
      <c r="G50" s="21">
        <f>ABS(F50)</f>
        <v/>
      </c>
    </row>
    <row r="51">
      <c r="A51" s="8">
        <f>A50+0.01</f>
        <v/>
      </c>
      <c r="B51" s="21">
        <f>SUMPRODUCT(Calibracion!$C$11:$C$20,1/(1+EXP(-(Calibracion!$E$11:$E$20+A51))))/Calibracion!$C$21-Calibracion!$C$4</f>
        <v/>
      </c>
      <c r="C51" s="21">
        <f>ABS(B51)</f>
        <v/>
      </c>
      <c r="E51" s="4">
        <f>E50+0.0001</f>
        <v/>
      </c>
      <c r="F51" s="21">
        <f>SUMPRODUCT(Calibracion!$C$11:$C$20,1/(1+EXP(-(Calibracion!$E$11:$E$20+E51))))/Calibracion!$C$21-Calibracion!$C$4</f>
        <v/>
      </c>
      <c r="G51" s="21">
        <f>ABS(F51)</f>
        <v/>
      </c>
    </row>
    <row r="52">
      <c r="A52" s="8">
        <f>A51+0.01</f>
        <v/>
      </c>
      <c r="B52" s="21">
        <f>SUMPRODUCT(Calibracion!$C$11:$C$20,1/(1+EXP(-(Calibracion!$E$11:$E$20+A52))))/Calibracion!$C$21-Calibracion!$C$4</f>
        <v/>
      </c>
      <c r="C52" s="21">
        <f>ABS(B52)</f>
        <v/>
      </c>
      <c r="E52" s="4">
        <f>E51+0.0001</f>
        <v/>
      </c>
      <c r="F52" s="21">
        <f>SUMPRODUCT(Calibracion!$C$11:$C$20,1/(1+EXP(-(Calibracion!$E$11:$E$20+E52))))/Calibracion!$C$21-Calibracion!$C$4</f>
        <v/>
      </c>
      <c r="G52" s="21">
        <f>ABS(F52)</f>
        <v/>
      </c>
    </row>
    <row r="53">
      <c r="A53" s="8">
        <f>A52+0.01</f>
        <v/>
      </c>
      <c r="B53" s="21">
        <f>SUMPRODUCT(Calibracion!$C$11:$C$20,1/(1+EXP(-(Calibracion!$E$11:$E$20+A53))))/Calibracion!$C$21-Calibracion!$C$4</f>
        <v/>
      </c>
      <c r="C53" s="21">
        <f>ABS(B53)</f>
        <v/>
      </c>
      <c r="E53" s="4">
        <f>E52+0.0001</f>
        <v/>
      </c>
      <c r="F53" s="21">
        <f>SUMPRODUCT(Calibracion!$C$11:$C$20,1/(1+EXP(-(Calibracion!$E$11:$E$20+E53))))/Calibracion!$C$21-Calibracion!$C$4</f>
        <v/>
      </c>
      <c r="G53" s="21">
        <f>ABS(F53)</f>
        <v/>
      </c>
    </row>
    <row r="54">
      <c r="A54" s="8">
        <f>A53+0.01</f>
        <v/>
      </c>
      <c r="B54" s="21">
        <f>SUMPRODUCT(Calibracion!$C$11:$C$20,1/(1+EXP(-(Calibracion!$E$11:$E$20+A54))))/Calibracion!$C$21-Calibracion!$C$4</f>
        <v/>
      </c>
      <c r="C54" s="21">
        <f>ABS(B54)</f>
        <v/>
      </c>
      <c r="E54" s="4">
        <f>E53+0.0001</f>
        <v/>
      </c>
      <c r="F54" s="21">
        <f>SUMPRODUCT(Calibracion!$C$11:$C$20,1/(1+EXP(-(Calibracion!$E$11:$E$20+E54))))/Calibracion!$C$21-Calibracion!$C$4</f>
        <v/>
      </c>
      <c r="G54" s="21">
        <f>ABS(F54)</f>
        <v/>
      </c>
    </row>
    <row r="55">
      <c r="A55" s="8">
        <f>A54+0.01</f>
        <v/>
      </c>
      <c r="B55" s="21">
        <f>SUMPRODUCT(Calibracion!$C$11:$C$20,1/(1+EXP(-(Calibracion!$E$11:$E$20+A55))))/Calibracion!$C$21-Calibracion!$C$4</f>
        <v/>
      </c>
      <c r="C55" s="21">
        <f>ABS(B55)</f>
        <v/>
      </c>
      <c r="E55" s="4">
        <f>E54+0.0001</f>
        <v/>
      </c>
      <c r="F55" s="21">
        <f>SUMPRODUCT(Calibracion!$C$11:$C$20,1/(1+EXP(-(Calibracion!$E$11:$E$20+E55))))/Calibracion!$C$21-Calibracion!$C$4</f>
        <v/>
      </c>
      <c r="G55" s="21">
        <f>ABS(F55)</f>
        <v/>
      </c>
    </row>
    <row r="56">
      <c r="A56" s="8">
        <f>A55+0.01</f>
        <v/>
      </c>
      <c r="B56" s="21">
        <f>SUMPRODUCT(Calibracion!$C$11:$C$20,1/(1+EXP(-(Calibracion!$E$11:$E$20+A56))))/Calibracion!$C$21-Calibracion!$C$4</f>
        <v/>
      </c>
      <c r="C56" s="21">
        <f>ABS(B56)</f>
        <v/>
      </c>
      <c r="E56" s="4">
        <f>E55+0.0001</f>
        <v/>
      </c>
      <c r="F56" s="21">
        <f>SUMPRODUCT(Calibracion!$C$11:$C$20,1/(1+EXP(-(Calibracion!$E$11:$E$20+E56))))/Calibracion!$C$21-Calibracion!$C$4</f>
        <v/>
      </c>
      <c r="G56" s="21">
        <f>ABS(F56)</f>
        <v/>
      </c>
    </row>
    <row r="57">
      <c r="A57" s="8">
        <f>A56+0.01</f>
        <v/>
      </c>
      <c r="B57" s="21">
        <f>SUMPRODUCT(Calibracion!$C$11:$C$20,1/(1+EXP(-(Calibracion!$E$11:$E$20+A57))))/Calibracion!$C$21-Calibracion!$C$4</f>
        <v/>
      </c>
      <c r="C57" s="21">
        <f>ABS(B57)</f>
        <v/>
      </c>
      <c r="E57" s="4">
        <f>E56+0.0001</f>
        <v/>
      </c>
      <c r="F57" s="21">
        <f>SUMPRODUCT(Calibracion!$C$11:$C$20,1/(1+EXP(-(Calibracion!$E$11:$E$20+E57))))/Calibracion!$C$21-Calibracion!$C$4</f>
        <v/>
      </c>
      <c r="G57" s="21">
        <f>ABS(F57)</f>
        <v/>
      </c>
    </row>
    <row r="58">
      <c r="A58" s="8">
        <f>A57+0.01</f>
        <v/>
      </c>
      <c r="B58" s="21">
        <f>SUMPRODUCT(Calibracion!$C$11:$C$20,1/(1+EXP(-(Calibracion!$E$11:$E$20+A58))))/Calibracion!$C$21-Calibracion!$C$4</f>
        <v/>
      </c>
      <c r="C58" s="21">
        <f>ABS(B58)</f>
        <v/>
      </c>
      <c r="E58" s="4">
        <f>E57+0.0001</f>
        <v/>
      </c>
      <c r="F58" s="21">
        <f>SUMPRODUCT(Calibracion!$C$11:$C$20,1/(1+EXP(-(Calibracion!$E$11:$E$20+E58))))/Calibracion!$C$21-Calibracion!$C$4</f>
        <v/>
      </c>
      <c r="G58" s="21">
        <f>ABS(F58)</f>
        <v/>
      </c>
    </row>
    <row r="59">
      <c r="A59" s="8">
        <f>A58+0.01</f>
        <v/>
      </c>
      <c r="B59" s="21">
        <f>SUMPRODUCT(Calibracion!$C$11:$C$20,1/(1+EXP(-(Calibracion!$E$11:$E$20+A59))))/Calibracion!$C$21-Calibracion!$C$4</f>
        <v/>
      </c>
      <c r="C59" s="21">
        <f>ABS(B59)</f>
        <v/>
      </c>
      <c r="E59" s="4">
        <f>E58+0.0001</f>
        <v/>
      </c>
      <c r="F59" s="21">
        <f>SUMPRODUCT(Calibracion!$C$11:$C$20,1/(1+EXP(-(Calibracion!$E$11:$E$20+E59))))/Calibracion!$C$21-Calibracion!$C$4</f>
        <v/>
      </c>
      <c r="G59" s="21">
        <f>ABS(F59)</f>
        <v/>
      </c>
    </row>
    <row r="60">
      <c r="A60" s="8">
        <f>A59+0.01</f>
        <v/>
      </c>
      <c r="B60" s="21">
        <f>SUMPRODUCT(Calibracion!$C$11:$C$20,1/(1+EXP(-(Calibracion!$E$11:$E$20+A60))))/Calibracion!$C$21-Calibracion!$C$4</f>
        <v/>
      </c>
      <c r="C60" s="21">
        <f>ABS(B60)</f>
        <v/>
      </c>
      <c r="E60" s="4">
        <f>E59+0.0001</f>
        <v/>
      </c>
      <c r="F60" s="21">
        <f>SUMPRODUCT(Calibracion!$C$11:$C$20,1/(1+EXP(-(Calibracion!$E$11:$E$20+E60))))/Calibracion!$C$21-Calibracion!$C$4</f>
        <v/>
      </c>
      <c r="G60" s="21">
        <f>ABS(F60)</f>
        <v/>
      </c>
    </row>
    <row r="61">
      <c r="A61" s="8">
        <f>A60+0.01</f>
        <v/>
      </c>
      <c r="B61" s="21">
        <f>SUMPRODUCT(Calibracion!$C$11:$C$20,1/(1+EXP(-(Calibracion!$E$11:$E$20+A61))))/Calibracion!$C$21-Calibracion!$C$4</f>
        <v/>
      </c>
      <c r="C61" s="21">
        <f>ABS(B61)</f>
        <v/>
      </c>
      <c r="E61" s="4">
        <f>E60+0.0001</f>
        <v/>
      </c>
      <c r="F61" s="21">
        <f>SUMPRODUCT(Calibracion!$C$11:$C$20,1/(1+EXP(-(Calibracion!$E$11:$E$20+E61))))/Calibracion!$C$21-Calibracion!$C$4</f>
        <v/>
      </c>
      <c r="G61" s="21">
        <f>ABS(F61)</f>
        <v/>
      </c>
    </row>
    <row r="62">
      <c r="A62" s="8">
        <f>A61+0.01</f>
        <v/>
      </c>
      <c r="B62" s="21">
        <f>SUMPRODUCT(Calibracion!$C$11:$C$20,1/(1+EXP(-(Calibracion!$E$11:$E$20+A62))))/Calibracion!$C$21-Calibracion!$C$4</f>
        <v/>
      </c>
      <c r="C62" s="21">
        <f>ABS(B62)</f>
        <v/>
      </c>
      <c r="E62" s="4">
        <f>E61+0.0001</f>
        <v/>
      </c>
      <c r="F62" s="21">
        <f>SUMPRODUCT(Calibracion!$C$11:$C$20,1/(1+EXP(-(Calibracion!$E$11:$E$20+E62))))/Calibracion!$C$21-Calibracion!$C$4</f>
        <v/>
      </c>
      <c r="G62" s="21">
        <f>ABS(F62)</f>
        <v/>
      </c>
    </row>
    <row r="63">
      <c r="A63" s="8">
        <f>A62+0.01</f>
        <v/>
      </c>
      <c r="B63" s="21">
        <f>SUMPRODUCT(Calibracion!$C$11:$C$20,1/(1+EXP(-(Calibracion!$E$11:$E$20+A63))))/Calibracion!$C$21-Calibracion!$C$4</f>
        <v/>
      </c>
      <c r="C63" s="21">
        <f>ABS(B63)</f>
        <v/>
      </c>
      <c r="E63" s="4">
        <f>E62+0.0001</f>
        <v/>
      </c>
      <c r="F63" s="21">
        <f>SUMPRODUCT(Calibracion!$C$11:$C$20,1/(1+EXP(-(Calibracion!$E$11:$E$20+E63))))/Calibracion!$C$21-Calibracion!$C$4</f>
        <v/>
      </c>
      <c r="G63" s="21">
        <f>ABS(F63)</f>
        <v/>
      </c>
    </row>
    <row r="64">
      <c r="A64" s="8">
        <f>A63+0.01</f>
        <v/>
      </c>
      <c r="B64" s="21">
        <f>SUMPRODUCT(Calibracion!$C$11:$C$20,1/(1+EXP(-(Calibracion!$E$11:$E$20+A64))))/Calibracion!$C$21-Calibracion!$C$4</f>
        <v/>
      </c>
      <c r="C64" s="21">
        <f>ABS(B64)</f>
        <v/>
      </c>
      <c r="E64" s="4">
        <f>E63+0.0001</f>
        <v/>
      </c>
      <c r="F64" s="21">
        <f>SUMPRODUCT(Calibracion!$C$11:$C$20,1/(1+EXP(-(Calibracion!$E$11:$E$20+E64))))/Calibracion!$C$21-Calibracion!$C$4</f>
        <v/>
      </c>
      <c r="G64" s="21">
        <f>ABS(F64)</f>
        <v/>
      </c>
    </row>
    <row r="65">
      <c r="A65" s="8">
        <f>A64+0.01</f>
        <v/>
      </c>
      <c r="B65" s="21">
        <f>SUMPRODUCT(Calibracion!$C$11:$C$20,1/(1+EXP(-(Calibracion!$E$11:$E$20+A65))))/Calibracion!$C$21-Calibracion!$C$4</f>
        <v/>
      </c>
      <c r="C65" s="21">
        <f>ABS(B65)</f>
        <v/>
      </c>
      <c r="E65" s="4">
        <f>E64+0.0001</f>
        <v/>
      </c>
      <c r="F65" s="21">
        <f>SUMPRODUCT(Calibracion!$C$11:$C$20,1/(1+EXP(-(Calibracion!$E$11:$E$20+E65))))/Calibracion!$C$21-Calibracion!$C$4</f>
        <v/>
      </c>
      <c r="G65" s="21">
        <f>ABS(F65)</f>
        <v/>
      </c>
    </row>
    <row r="66">
      <c r="A66" s="8">
        <f>A65+0.01</f>
        <v/>
      </c>
      <c r="B66" s="21">
        <f>SUMPRODUCT(Calibracion!$C$11:$C$20,1/(1+EXP(-(Calibracion!$E$11:$E$20+A66))))/Calibracion!$C$21-Calibracion!$C$4</f>
        <v/>
      </c>
      <c r="C66" s="21">
        <f>ABS(B66)</f>
        <v/>
      </c>
      <c r="E66" s="4">
        <f>E65+0.0001</f>
        <v/>
      </c>
      <c r="F66" s="21">
        <f>SUMPRODUCT(Calibracion!$C$11:$C$20,1/(1+EXP(-(Calibracion!$E$11:$E$20+E66))))/Calibracion!$C$21-Calibracion!$C$4</f>
        <v/>
      </c>
      <c r="G66" s="21">
        <f>ABS(F66)</f>
        <v/>
      </c>
    </row>
    <row r="67">
      <c r="A67" s="8">
        <f>A66+0.01</f>
        <v/>
      </c>
      <c r="B67" s="21">
        <f>SUMPRODUCT(Calibracion!$C$11:$C$20,1/(1+EXP(-(Calibracion!$E$11:$E$20+A67))))/Calibracion!$C$21-Calibracion!$C$4</f>
        <v/>
      </c>
      <c r="C67" s="21">
        <f>ABS(B67)</f>
        <v/>
      </c>
      <c r="E67" s="4">
        <f>E66+0.0001</f>
        <v/>
      </c>
      <c r="F67" s="21">
        <f>SUMPRODUCT(Calibracion!$C$11:$C$20,1/(1+EXP(-(Calibracion!$E$11:$E$20+E67))))/Calibracion!$C$21-Calibracion!$C$4</f>
        <v/>
      </c>
      <c r="G67" s="21">
        <f>ABS(F67)</f>
        <v/>
      </c>
    </row>
    <row r="68">
      <c r="A68" s="8">
        <f>A67+0.01</f>
        <v/>
      </c>
      <c r="B68" s="21">
        <f>SUMPRODUCT(Calibracion!$C$11:$C$20,1/(1+EXP(-(Calibracion!$E$11:$E$20+A68))))/Calibracion!$C$21-Calibracion!$C$4</f>
        <v/>
      </c>
      <c r="C68" s="21">
        <f>ABS(B68)</f>
        <v/>
      </c>
      <c r="E68" s="4">
        <f>E67+0.0001</f>
        <v/>
      </c>
      <c r="F68" s="21">
        <f>SUMPRODUCT(Calibracion!$C$11:$C$20,1/(1+EXP(-(Calibracion!$E$11:$E$20+E68))))/Calibracion!$C$21-Calibracion!$C$4</f>
        <v/>
      </c>
      <c r="G68" s="21">
        <f>ABS(F68)</f>
        <v/>
      </c>
    </row>
    <row r="69">
      <c r="A69" s="8">
        <f>A68+0.01</f>
        <v/>
      </c>
      <c r="B69" s="21">
        <f>SUMPRODUCT(Calibracion!$C$11:$C$20,1/(1+EXP(-(Calibracion!$E$11:$E$20+A69))))/Calibracion!$C$21-Calibracion!$C$4</f>
        <v/>
      </c>
      <c r="C69" s="21">
        <f>ABS(B69)</f>
        <v/>
      </c>
      <c r="E69" s="4">
        <f>E68+0.0001</f>
        <v/>
      </c>
      <c r="F69" s="21">
        <f>SUMPRODUCT(Calibracion!$C$11:$C$20,1/(1+EXP(-(Calibracion!$E$11:$E$20+E69))))/Calibracion!$C$21-Calibracion!$C$4</f>
        <v/>
      </c>
      <c r="G69" s="21">
        <f>ABS(F69)</f>
        <v/>
      </c>
    </row>
    <row r="70">
      <c r="A70" s="8">
        <f>A69+0.01</f>
        <v/>
      </c>
      <c r="B70" s="21">
        <f>SUMPRODUCT(Calibracion!$C$11:$C$20,1/(1+EXP(-(Calibracion!$E$11:$E$20+A70))))/Calibracion!$C$21-Calibracion!$C$4</f>
        <v/>
      </c>
      <c r="C70" s="21">
        <f>ABS(B70)</f>
        <v/>
      </c>
      <c r="E70" s="4">
        <f>E69+0.0001</f>
        <v/>
      </c>
      <c r="F70" s="21">
        <f>SUMPRODUCT(Calibracion!$C$11:$C$20,1/(1+EXP(-(Calibracion!$E$11:$E$20+E70))))/Calibracion!$C$21-Calibracion!$C$4</f>
        <v/>
      </c>
      <c r="G70" s="21">
        <f>ABS(F70)</f>
        <v/>
      </c>
    </row>
    <row r="71">
      <c r="A71" s="8">
        <f>A70+0.01</f>
        <v/>
      </c>
      <c r="B71" s="21">
        <f>SUMPRODUCT(Calibracion!$C$11:$C$20,1/(1+EXP(-(Calibracion!$E$11:$E$20+A71))))/Calibracion!$C$21-Calibracion!$C$4</f>
        <v/>
      </c>
      <c r="C71" s="21">
        <f>ABS(B71)</f>
        <v/>
      </c>
      <c r="E71" s="4">
        <f>E70+0.0001</f>
        <v/>
      </c>
      <c r="F71" s="21">
        <f>SUMPRODUCT(Calibracion!$C$11:$C$20,1/(1+EXP(-(Calibracion!$E$11:$E$20+E71))))/Calibracion!$C$21-Calibracion!$C$4</f>
        <v/>
      </c>
      <c r="G71" s="21">
        <f>ABS(F71)</f>
        <v/>
      </c>
    </row>
    <row r="72">
      <c r="A72" s="8">
        <f>A71+0.01</f>
        <v/>
      </c>
      <c r="B72" s="21">
        <f>SUMPRODUCT(Calibracion!$C$11:$C$20,1/(1+EXP(-(Calibracion!$E$11:$E$20+A72))))/Calibracion!$C$21-Calibracion!$C$4</f>
        <v/>
      </c>
      <c r="C72" s="21">
        <f>ABS(B72)</f>
        <v/>
      </c>
      <c r="E72" s="4">
        <f>E71+0.0001</f>
        <v/>
      </c>
      <c r="F72" s="21">
        <f>SUMPRODUCT(Calibracion!$C$11:$C$20,1/(1+EXP(-(Calibracion!$E$11:$E$20+E72))))/Calibracion!$C$21-Calibracion!$C$4</f>
        <v/>
      </c>
      <c r="G72" s="21">
        <f>ABS(F72)</f>
        <v/>
      </c>
    </row>
    <row r="73">
      <c r="A73" s="8">
        <f>A72+0.01</f>
        <v/>
      </c>
      <c r="B73" s="21">
        <f>SUMPRODUCT(Calibracion!$C$11:$C$20,1/(1+EXP(-(Calibracion!$E$11:$E$20+A73))))/Calibracion!$C$21-Calibracion!$C$4</f>
        <v/>
      </c>
      <c r="C73" s="21">
        <f>ABS(B73)</f>
        <v/>
      </c>
      <c r="E73" s="4">
        <f>E72+0.0001</f>
        <v/>
      </c>
      <c r="F73" s="21">
        <f>SUMPRODUCT(Calibracion!$C$11:$C$20,1/(1+EXP(-(Calibracion!$E$11:$E$20+E73))))/Calibracion!$C$21-Calibracion!$C$4</f>
        <v/>
      </c>
      <c r="G73" s="21">
        <f>ABS(F73)</f>
        <v/>
      </c>
    </row>
    <row r="74">
      <c r="A74" s="8">
        <f>A73+0.01</f>
        <v/>
      </c>
      <c r="B74" s="21">
        <f>SUMPRODUCT(Calibracion!$C$11:$C$20,1/(1+EXP(-(Calibracion!$E$11:$E$20+A74))))/Calibracion!$C$21-Calibracion!$C$4</f>
        <v/>
      </c>
      <c r="C74" s="21">
        <f>ABS(B74)</f>
        <v/>
      </c>
      <c r="E74" s="4">
        <f>E73+0.0001</f>
        <v/>
      </c>
      <c r="F74" s="21">
        <f>SUMPRODUCT(Calibracion!$C$11:$C$20,1/(1+EXP(-(Calibracion!$E$11:$E$20+E74))))/Calibracion!$C$21-Calibracion!$C$4</f>
        <v/>
      </c>
      <c r="G74" s="21">
        <f>ABS(F74)</f>
        <v/>
      </c>
    </row>
    <row r="75">
      <c r="A75" s="8">
        <f>A74+0.01</f>
        <v/>
      </c>
      <c r="B75" s="21">
        <f>SUMPRODUCT(Calibracion!$C$11:$C$20,1/(1+EXP(-(Calibracion!$E$11:$E$20+A75))))/Calibracion!$C$21-Calibracion!$C$4</f>
        <v/>
      </c>
      <c r="C75" s="21">
        <f>ABS(B75)</f>
        <v/>
      </c>
      <c r="E75" s="4">
        <f>E74+0.0001</f>
        <v/>
      </c>
      <c r="F75" s="21">
        <f>SUMPRODUCT(Calibracion!$C$11:$C$20,1/(1+EXP(-(Calibracion!$E$11:$E$20+E75))))/Calibracion!$C$21-Calibracion!$C$4</f>
        <v/>
      </c>
      <c r="G75" s="21">
        <f>ABS(F75)</f>
        <v/>
      </c>
    </row>
    <row r="76">
      <c r="A76" s="8">
        <f>A75+0.01</f>
        <v/>
      </c>
      <c r="B76" s="21">
        <f>SUMPRODUCT(Calibracion!$C$11:$C$20,1/(1+EXP(-(Calibracion!$E$11:$E$20+A76))))/Calibracion!$C$21-Calibracion!$C$4</f>
        <v/>
      </c>
      <c r="C76" s="21">
        <f>ABS(B76)</f>
        <v/>
      </c>
      <c r="E76" s="4">
        <f>E75+0.0001</f>
        <v/>
      </c>
      <c r="F76" s="21">
        <f>SUMPRODUCT(Calibracion!$C$11:$C$20,1/(1+EXP(-(Calibracion!$E$11:$E$20+E76))))/Calibracion!$C$21-Calibracion!$C$4</f>
        <v/>
      </c>
      <c r="G76" s="21">
        <f>ABS(F76)</f>
        <v/>
      </c>
    </row>
    <row r="77">
      <c r="A77" s="8">
        <f>A76+0.01</f>
        <v/>
      </c>
      <c r="B77" s="21">
        <f>SUMPRODUCT(Calibracion!$C$11:$C$20,1/(1+EXP(-(Calibracion!$E$11:$E$20+A77))))/Calibracion!$C$21-Calibracion!$C$4</f>
        <v/>
      </c>
      <c r="C77" s="21">
        <f>ABS(B77)</f>
        <v/>
      </c>
      <c r="E77" s="4">
        <f>E76+0.0001</f>
        <v/>
      </c>
      <c r="F77" s="21">
        <f>SUMPRODUCT(Calibracion!$C$11:$C$20,1/(1+EXP(-(Calibracion!$E$11:$E$20+E77))))/Calibracion!$C$21-Calibracion!$C$4</f>
        <v/>
      </c>
      <c r="G77" s="21">
        <f>ABS(F77)</f>
        <v/>
      </c>
    </row>
    <row r="78">
      <c r="A78" s="8">
        <f>A77+0.01</f>
        <v/>
      </c>
      <c r="B78" s="21">
        <f>SUMPRODUCT(Calibracion!$C$11:$C$20,1/(1+EXP(-(Calibracion!$E$11:$E$20+A78))))/Calibracion!$C$21-Calibracion!$C$4</f>
        <v/>
      </c>
      <c r="C78" s="21">
        <f>ABS(B78)</f>
        <v/>
      </c>
      <c r="E78" s="4">
        <f>E77+0.0001</f>
        <v/>
      </c>
      <c r="F78" s="21">
        <f>SUMPRODUCT(Calibracion!$C$11:$C$20,1/(1+EXP(-(Calibracion!$E$11:$E$20+E78))))/Calibracion!$C$21-Calibracion!$C$4</f>
        <v/>
      </c>
      <c r="G78" s="21">
        <f>ABS(F78)</f>
        <v/>
      </c>
    </row>
    <row r="79">
      <c r="A79" s="8">
        <f>A78+0.01</f>
        <v/>
      </c>
      <c r="B79" s="21">
        <f>SUMPRODUCT(Calibracion!$C$11:$C$20,1/(1+EXP(-(Calibracion!$E$11:$E$20+A79))))/Calibracion!$C$21-Calibracion!$C$4</f>
        <v/>
      </c>
      <c r="C79" s="21">
        <f>ABS(B79)</f>
        <v/>
      </c>
      <c r="E79" s="4">
        <f>E78+0.0001</f>
        <v/>
      </c>
      <c r="F79" s="21">
        <f>SUMPRODUCT(Calibracion!$C$11:$C$20,1/(1+EXP(-(Calibracion!$E$11:$E$20+E79))))/Calibracion!$C$21-Calibracion!$C$4</f>
        <v/>
      </c>
      <c r="G79" s="21">
        <f>ABS(F79)</f>
        <v/>
      </c>
    </row>
    <row r="80">
      <c r="A80" s="8">
        <f>A79+0.01</f>
        <v/>
      </c>
      <c r="B80" s="21">
        <f>SUMPRODUCT(Calibracion!$C$11:$C$20,1/(1+EXP(-(Calibracion!$E$11:$E$20+A80))))/Calibracion!$C$21-Calibracion!$C$4</f>
        <v/>
      </c>
      <c r="C80" s="21">
        <f>ABS(B80)</f>
        <v/>
      </c>
      <c r="E80" s="4">
        <f>E79+0.0001</f>
        <v/>
      </c>
      <c r="F80" s="21">
        <f>SUMPRODUCT(Calibracion!$C$11:$C$20,1/(1+EXP(-(Calibracion!$E$11:$E$20+E80))))/Calibracion!$C$21-Calibracion!$C$4</f>
        <v/>
      </c>
      <c r="G80" s="21">
        <f>ABS(F80)</f>
        <v/>
      </c>
    </row>
    <row r="81">
      <c r="A81" s="8">
        <f>A80+0.01</f>
        <v/>
      </c>
      <c r="B81" s="21">
        <f>SUMPRODUCT(Calibracion!$C$11:$C$20,1/(1+EXP(-(Calibracion!$E$11:$E$20+A81))))/Calibracion!$C$21-Calibracion!$C$4</f>
        <v/>
      </c>
      <c r="C81" s="21">
        <f>ABS(B81)</f>
        <v/>
      </c>
      <c r="E81" s="4">
        <f>E80+0.0001</f>
        <v/>
      </c>
      <c r="F81" s="21">
        <f>SUMPRODUCT(Calibracion!$C$11:$C$20,1/(1+EXP(-(Calibracion!$E$11:$E$20+E81))))/Calibracion!$C$21-Calibracion!$C$4</f>
        <v/>
      </c>
      <c r="G81" s="21">
        <f>ABS(F81)</f>
        <v/>
      </c>
    </row>
    <row r="82">
      <c r="A82" s="8">
        <f>A81+0.01</f>
        <v/>
      </c>
      <c r="B82" s="21">
        <f>SUMPRODUCT(Calibracion!$C$11:$C$20,1/(1+EXP(-(Calibracion!$E$11:$E$20+A82))))/Calibracion!$C$21-Calibracion!$C$4</f>
        <v/>
      </c>
      <c r="C82" s="21">
        <f>ABS(B82)</f>
        <v/>
      </c>
      <c r="E82" s="4">
        <f>E81+0.0001</f>
        <v/>
      </c>
      <c r="F82" s="21">
        <f>SUMPRODUCT(Calibracion!$C$11:$C$20,1/(1+EXP(-(Calibracion!$E$11:$E$20+E82))))/Calibracion!$C$21-Calibracion!$C$4</f>
        <v/>
      </c>
      <c r="G82" s="21">
        <f>ABS(F82)</f>
        <v/>
      </c>
    </row>
    <row r="83">
      <c r="A83" s="8">
        <f>A82+0.01</f>
        <v/>
      </c>
      <c r="B83" s="21">
        <f>SUMPRODUCT(Calibracion!$C$11:$C$20,1/(1+EXP(-(Calibracion!$E$11:$E$20+A83))))/Calibracion!$C$21-Calibracion!$C$4</f>
        <v/>
      </c>
      <c r="C83" s="21">
        <f>ABS(B83)</f>
        <v/>
      </c>
      <c r="E83" s="4">
        <f>E82+0.0001</f>
        <v/>
      </c>
      <c r="F83" s="21">
        <f>SUMPRODUCT(Calibracion!$C$11:$C$20,1/(1+EXP(-(Calibracion!$E$11:$E$20+E83))))/Calibracion!$C$21-Calibracion!$C$4</f>
        <v/>
      </c>
      <c r="G83" s="21">
        <f>ABS(F83)</f>
        <v/>
      </c>
    </row>
    <row r="84">
      <c r="A84" s="8">
        <f>A83+0.01</f>
        <v/>
      </c>
      <c r="B84" s="21">
        <f>SUMPRODUCT(Calibracion!$C$11:$C$20,1/(1+EXP(-(Calibracion!$E$11:$E$20+A84))))/Calibracion!$C$21-Calibracion!$C$4</f>
        <v/>
      </c>
      <c r="C84" s="21">
        <f>ABS(B84)</f>
        <v/>
      </c>
      <c r="E84" s="4">
        <f>E83+0.0001</f>
        <v/>
      </c>
      <c r="F84" s="21">
        <f>SUMPRODUCT(Calibracion!$C$11:$C$20,1/(1+EXP(-(Calibracion!$E$11:$E$20+E84))))/Calibracion!$C$21-Calibracion!$C$4</f>
        <v/>
      </c>
      <c r="G84" s="21">
        <f>ABS(F84)</f>
        <v/>
      </c>
    </row>
    <row r="85">
      <c r="A85" s="8">
        <f>A84+0.01</f>
        <v/>
      </c>
      <c r="B85" s="21">
        <f>SUMPRODUCT(Calibracion!$C$11:$C$20,1/(1+EXP(-(Calibracion!$E$11:$E$20+A85))))/Calibracion!$C$21-Calibracion!$C$4</f>
        <v/>
      </c>
      <c r="C85" s="21">
        <f>ABS(B85)</f>
        <v/>
      </c>
      <c r="E85" s="4">
        <f>E84+0.0001</f>
        <v/>
      </c>
      <c r="F85" s="21">
        <f>SUMPRODUCT(Calibracion!$C$11:$C$20,1/(1+EXP(-(Calibracion!$E$11:$E$20+E85))))/Calibracion!$C$21-Calibracion!$C$4</f>
        <v/>
      </c>
      <c r="G85" s="21">
        <f>ABS(F85)</f>
        <v/>
      </c>
    </row>
    <row r="86">
      <c r="A86" s="8">
        <f>A85+0.01</f>
        <v/>
      </c>
      <c r="B86" s="21">
        <f>SUMPRODUCT(Calibracion!$C$11:$C$20,1/(1+EXP(-(Calibracion!$E$11:$E$20+A86))))/Calibracion!$C$21-Calibracion!$C$4</f>
        <v/>
      </c>
      <c r="C86" s="21">
        <f>ABS(B86)</f>
        <v/>
      </c>
      <c r="E86" s="4">
        <f>E85+0.0001</f>
        <v/>
      </c>
      <c r="F86" s="21">
        <f>SUMPRODUCT(Calibracion!$C$11:$C$20,1/(1+EXP(-(Calibracion!$E$11:$E$20+E86))))/Calibracion!$C$21-Calibracion!$C$4</f>
        <v/>
      </c>
      <c r="G86" s="21">
        <f>ABS(F86)</f>
        <v/>
      </c>
    </row>
    <row r="87">
      <c r="A87" s="8">
        <f>A86+0.01</f>
        <v/>
      </c>
      <c r="B87" s="21">
        <f>SUMPRODUCT(Calibracion!$C$11:$C$20,1/(1+EXP(-(Calibracion!$E$11:$E$20+A87))))/Calibracion!$C$21-Calibracion!$C$4</f>
        <v/>
      </c>
      <c r="C87" s="21">
        <f>ABS(B87)</f>
        <v/>
      </c>
      <c r="E87" s="4">
        <f>E86+0.0001</f>
        <v/>
      </c>
      <c r="F87" s="21">
        <f>SUMPRODUCT(Calibracion!$C$11:$C$20,1/(1+EXP(-(Calibracion!$E$11:$E$20+E87))))/Calibracion!$C$21-Calibracion!$C$4</f>
        <v/>
      </c>
      <c r="G87" s="21">
        <f>ABS(F87)</f>
        <v/>
      </c>
    </row>
    <row r="88">
      <c r="A88" s="8">
        <f>A87+0.01</f>
        <v/>
      </c>
      <c r="B88" s="21">
        <f>SUMPRODUCT(Calibracion!$C$11:$C$20,1/(1+EXP(-(Calibracion!$E$11:$E$20+A88))))/Calibracion!$C$21-Calibracion!$C$4</f>
        <v/>
      </c>
      <c r="C88" s="21">
        <f>ABS(B88)</f>
        <v/>
      </c>
      <c r="E88" s="4">
        <f>E87+0.0001</f>
        <v/>
      </c>
      <c r="F88" s="21">
        <f>SUMPRODUCT(Calibracion!$C$11:$C$20,1/(1+EXP(-(Calibracion!$E$11:$E$20+E88))))/Calibracion!$C$21-Calibracion!$C$4</f>
        <v/>
      </c>
      <c r="G88" s="21">
        <f>ABS(F88)</f>
        <v/>
      </c>
    </row>
    <row r="89">
      <c r="A89" s="8">
        <f>A88+0.01</f>
        <v/>
      </c>
      <c r="B89" s="21">
        <f>SUMPRODUCT(Calibracion!$C$11:$C$20,1/(1+EXP(-(Calibracion!$E$11:$E$20+A89))))/Calibracion!$C$21-Calibracion!$C$4</f>
        <v/>
      </c>
      <c r="C89" s="21">
        <f>ABS(B89)</f>
        <v/>
      </c>
      <c r="E89" s="4">
        <f>E88+0.0001</f>
        <v/>
      </c>
      <c r="F89" s="21">
        <f>SUMPRODUCT(Calibracion!$C$11:$C$20,1/(1+EXP(-(Calibracion!$E$11:$E$20+E89))))/Calibracion!$C$21-Calibracion!$C$4</f>
        <v/>
      </c>
      <c r="G89" s="21">
        <f>ABS(F89)</f>
        <v/>
      </c>
    </row>
    <row r="90">
      <c r="A90" s="8">
        <f>A89+0.01</f>
        <v/>
      </c>
      <c r="B90" s="21">
        <f>SUMPRODUCT(Calibracion!$C$11:$C$20,1/(1+EXP(-(Calibracion!$E$11:$E$20+A90))))/Calibracion!$C$21-Calibracion!$C$4</f>
        <v/>
      </c>
      <c r="C90" s="21">
        <f>ABS(B90)</f>
        <v/>
      </c>
      <c r="E90" s="4">
        <f>E89+0.0001</f>
        <v/>
      </c>
      <c r="F90" s="21">
        <f>SUMPRODUCT(Calibracion!$C$11:$C$20,1/(1+EXP(-(Calibracion!$E$11:$E$20+E90))))/Calibracion!$C$21-Calibracion!$C$4</f>
        <v/>
      </c>
      <c r="G90" s="21">
        <f>ABS(F90)</f>
        <v/>
      </c>
    </row>
    <row r="91">
      <c r="A91" s="8">
        <f>A90+0.01</f>
        <v/>
      </c>
      <c r="B91" s="21">
        <f>SUMPRODUCT(Calibracion!$C$11:$C$20,1/(1+EXP(-(Calibracion!$E$11:$E$20+A91))))/Calibracion!$C$21-Calibracion!$C$4</f>
        <v/>
      </c>
      <c r="C91" s="21">
        <f>ABS(B91)</f>
        <v/>
      </c>
      <c r="E91" s="4">
        <f>E90+0.0001</f>
        <v/>
      </c>
      <c r="F91" s="21">
        <f>SUMPRODUCT(Calibracion!$C$11:$C$20,1/(1+EXP(-(Calibracion!$E$11:$E$20+E91))))/Calibracion!$C$21-Calibracion!$C$4</f>
        <v/>
      </c>
      <c r="G91" s="21">
        <f>ABS(F91)</f>
        <v/>
      </c>
    </row>
    <row r="92">
      <c r="A92" s="8">
        <f>A91+0.01</f>
        <v/>
      </c>
      <c r="B92" s="21">
        <f>SUMPRODUCT(Calibracion!$C$11:$C$20,1/(1+EXP(-(Calibracion!$E$11:$E$20+A92))))/Calibracion!$C$21-Calibracion!$C$4</f>
        <v/>
      </c>
      <c r="C92" s="21">
        <f>ABS(B92)</f>
        <v/>
      </c>
      <c r="E92" s="4">
        <f>E91+0.0001</f>
        <v/>
      </c>
      <c r="F92" s="21">
        <f>SUMPRODUCT(Calibracion!$C$11:$C$20,1/(1+EXP(-(Calibracion!$E$11:$E$20+E92))))/Calibracion!$C$21-Calibracion!$C$4</f>
        <v/>
      </c>
      <c r="G92" s="21">
        <f>ABS(F92)</f>
        <v/>
      </c>
    </row>
    <row r="93">
      <c r="A93" s="8">
        <f>A92+0.01</f>
        <v/>
      </c>
      <c r="B93" s="21">
        <f>SUMPRODUCT(Calibracion!$C$11:$C$20,1/(1+EXP(-(Calibracion!$E$11:$E$20+A93))))/Calibracion!$C$21-Calibracion!$C$4</f>
        <v/>
      </c>
      <c r="C93" s="21">
        <f>ABS(B93)</f>
        <v/>
      </c>
      <c r="E93" s="4">
        <f>E92+0.0001</f>
        <v/>
      </c>
      <c r="F93" s="21">
        <f>SUMPRODUCT(Calibracion!$C$11:$C$20,1/(1+EXP(-(Calibracion!$E$11:$E$20+E93))))/Calibracion!$C$21-Calibracion!$C$4</f>
        <v/>
      </c>
      <c r="G93" s="21">
        <f>ABS(F93)</f>
        <v/>
      </c>
    </row>
    <row r="94">
      <c r="A94" s="8">
        <f>A93+0.01</f>
        <v/>
      </c>
      <c r="B94" s="21">
        <f>SUMPRODUCT(Calibracion!$C$11:$C$20,1/(1+EXP(-(Calibracion!$E$11:$E$20+A94))))/Calibracion!$C$21-Calibracion!$C$4</f>
        <v/>
      </c>
      <c r="C94" s="21">
        <f>ABS(B94)</f>
        <v/>
      </c>
      <c r="E94" s="4">
        <f>E93+0.0001</f>
        <v/>
      </c>
      <c r="F94" s="21">
        <f>SUMPRODUCT(Calibracion!$C$11:$C$20,1/(1+EXP(-(Calibracion!$E$11:$E$20+E94))))/Calibracion!$C$21-Calibracion!$C$4</f>
        <v/>
      </c>
      <c r="G94" s="21">
        <f>ABS(F94)</f>
        <v/>
      </c>
    </row>
    <row r="95">
      <c r="A95" s="8">
        <f>A94+0.01</f>
        <v/>
      </c>
      <c r="B95" s="21">
        <f>SUMPRODUCT(Calibracion!$C$11:$C$20,1/(1+EXP(-(Calibracion!$E$11:$E$20+A95))))/Calibracion!$C$21-Calibracion!$C$4</f>
        <v/>
      </c>
      <c r="C95" s="21">
        <f>ABS(B95)</f>
        <v/>
      </c>
      <c r="E95" s="4">
        <f>E94+0.0001</f>
        <v/>
      </c>
      <c r="F95" s="21">
        <f>SUMPRODUCT(Calibracion!$C$11:$C$20,1/(1+EXP(-(Calibracion!$E$11:$E$20+E95))))/Calibracion!$C$21-Calibracion!$C$4</f>
        <v/>
      </c>
      <c r="G95" s="21">
        <f>ABS(F95)</f>
        <v/>
      </c>
    </row>
    <row r="96">
      <c r="A96" s="8">
        <f>A95+0.01</f>
        <v/>
      </c>
      <c r="B96" s="21">
        <f>SUMPRODUCT(Calibracion!$C$11:$C$20,1/(1+EXP(-(Calibracion!$E$11:$E$20+A96))))/Calibracion!$C$21-Calibracion!$C$4</f>
        <v/>
      </c>
      <c r="C96" s="21">
        <f>ABS(B96)</f>
        <v/>
      </c>
      <c r="E96" s="4">
        <f>E95+0.0001</f>
        <v/>
      </c>
      <c r="F96" s="21">
        <f>SUMPRODUCT(Calibracion!$C$11:$C$20,1/(1+EXP(-(Calibracion!$E$11:$E$20+E96))))/Calibracion!$C$21-Calibracion!$C$4</f>
        <v/>
      </c>
      <c r="G96" s="21">
        <f>ABS(F96)</f>
        <v/>
      </c>
    </row>
    <row r="97">
      <c r="A97" s="8">
        <f>A96+0.01</f>
        <v/>
      </c>
      <c r="B97" s="21">
        <f>SUMPRODUCT(Calibracion!$C$11:$C$20,1/(1+EXP(-(Calibracion!$E$11:$E$20+A97))))/Calibracion!$C$21-Calibracion!$C$4</f>
        <v/>
      </c>
      <c r="C97" s="21">
        <f>ABS(B97)</f>
        <v/>
      </c>
      <c r="E97" s="4">
        <f>E96+0.0001</f>
        <v/>
      </c>
      <c r="F97" s="21">
        <f>SUMPRODUCT(Calibracion!$C$11:$C$20,1/(1+EXP(-(Calibracion!$E$11:$E$20+E97))))/Calibracion!$C$21-Calibracion!$C$4</f>
        <v/>
      </c>
      <c r="G97" s="21">
        <f>ABS(F97)</f>
        <v/>
      </c>
    </row>
    <row r="98">
      <c r="A98" s="8">
        <f>A97+0.01</f>
        <v/>
      </c>
      <c r="B98" s="21">
        <f>SUMPRODUCT(Calibracion!$C$11:$C$20,1/(1+EXP(-(Calibracion!$E$11:$E$20+A98))))/Calibracion!$C$21-Calibracion!$C$4</f>
        <v/>
      </c>
      <c r="C98" s="21">
        <f>ABS(B98)</f>
        <v/>
      </c>
      <c r="E98" s="4">
        <f>E97+0.0001</f>
        <v/>
      </c>
      <c r="F98" s="21">
        <f>SUMPRODUCT(Calibracion!$C$11:$C$20,1/(1+EXP(-(Calibracion!$E$11:$E$20+E98))))/Calibracion!$C$21-Calibracion!$C$4</f>
        <v/>
      </c>
      <c r="G98" s="21">
        <f>ABS(F98)</f>
        <v/>
      </c>
    </row>
    <row r="99">
      <c r="A99" s="8">
        <f>A98+0.01</f>
        <v/>
      </c>
      <c r="B99" s="21">
        <f>SUMPRODUCT(Calibracion!$C$11:$C$20,1/(1+EXP(-(Calibracion!$E$11:$E$20+A99))))/Calibracion!$C$21-Calibracion!$C$4</f>
        <v/>
      </c>
      <c r="C99" s="21">
        <f>ABS(B99)</f>
        <v/>
      </c>
      <c r="E99" s="4">
        <f>E98+0.0001</f>
        <v/>
      </c>
      <c r="F99" s="21">
        <f>SUMPRODUCT(Calibracion!$C$11:$C$20,1/(1+EXP(-(Calibracion!$E$11:$E$20+E99))))/Calibracion!$C$21-Calibracion!$C$4</f>
        <v/>
      </c>
      <c r="G99" s="21">
        <f>ABS(F99)</f>
        <v/>
      </c>
    </row>
    <row r="100">
      <c r="A100" s="8">
        <f>A99+0.01</f>
        <v/>
      </c>
      <c r="B100" s="21">
        <f>SUMPRODUCT(Calibracion!$C$11:$C$20,1/(1+EXP(-(Calibracion!$E$11:$E$20+A100))))/Calibracion!$C$21-Calibracion!$C$4</f>
        <v/>
      </c>
      <c r="C100" s="21">
        <f>ABS(B100)</f>
        <v/>
      </c>
      <c r="E100" s="4">
        <f>E99+0.0001</f>
        <v/>
      </c>
      <c r="F100" s="21">
        <f>SUMPRODUCT(Calibracion!$C$11:$C$20,1/(1+EXP(-(Calibracion!$E$11:$E$20+E100))))/Calibracion!$C$21-Calibracion!$C$4</f>
        <v/>
      </c>
      <c r="G100" s="21">
        <f>ABS(F100)</f>
        <v/>
      </c>
    </row>
    <row r="101">
      <c r="A101" s="8">
        <f>A100+0.01</f>
        <v/>
      </c>
      <c r="B101" s="21">
        <f>SUMPRODUCT(Calibracion!$C$11:$C$20,1/(1+EXP(-(Calibracion!$E$11:$E$20+A101))))/Calibracion!$C$21-Calibracion!$C$4</f>
        <v/>
      </c>
      <c r="C101" s="21">
        <f>ABS(B101)</f>
        <v/>
      </c>
      <c r="E101" s="4">
        <f>E100+0.0001</f>
        <v/>
      </c>
      <c r="F101" s="21">
        <f>SUMPRODUCT(Calibracion!$C$11:$C$20,1/(1+EXP(-(Calibracion!$E$11:$E$20+E101))))/Calibracion!$C$21-Calibracion!$C$4</f>
        <v/>
      </c>
      <c r="G101" s="21">
        <f>ABS(F101)</f>
        <v/>
      </c>
    </row>
    <row r="102">
      <c r="A102" s="8">
        <f>A101+0.01</f>
        <v/>
      </c>
      <c r="B102" s="21">
        <f>SUMPRODUCT(Calibracion!$C$11:$C$20,1/(1+EXP(-(Calibracion!$E$11:$E$20+A102))))/Calibracion!$C$21-Calibracion!$C$4</f>
        <v/>
      </c>
      <c r="C102" s="21">
        <f>ABS(B102)</f>
        <v/>
      </c>
      <c r="E102" s="4">
        <f>E101+0.0001</f>
        <v/>
      </c>
      <c r="F102" s="21">
        <f>SUMPRODUCT(Calibracion!$C$11:$C$20,1/(1+EXP(-(Calibracion!$E$11:$E$20+E102))))/Calibracion!$C$21-Calibracion!$C$4</f>
        <v/>
      </c>
      <c r="G102" s="21">
        <f>ABS(F102)</f>
        <v/>
      </c>
    </row>
    <row r="103">
      <c r="A103" s="8">
        <f>A102+0.01</f>
        <v/>
      </c>
      <c r="B103" s="21">
        <f>SUMPRODUCT(Calibracion!$C$11:$C$20,1/(1+EXP(-(Calibracion!$E$11:$E$20+A103))))/Calibracion!$C$21-Calibracion!$C$4</f>
        <v/>
      </c>
      <c r="C103" s="21">
        <f>ABS(B103)</f>
        <v/>
      </c>
      <c r="E103" s="4">
        <f>E102+0.0001</f>
        <v/>
      </c>
      <c r="F103" s="21">
        <f>SUMPRODUCT(Calibracion!$C$11:$C$20,1/(1+EXP(-(Calibracion!$E$11:$E$20+E103))))/Calibracion!$C$21-Calibracion!$C$4</f>
        <v/>
      </c>
      <c r="G103" s="21">
        <f>ABS(F103)</f>
        <v/>
      </c>
    </row>
    <row r="104">
      <c r="A104" s="8">
        <f>A103+0.01</f>
        <v/>
      </c>
      <c r="B104" s="21">
        <f>SUMPRODUCT(Calibracion!$C$11:$C$20,1/(1+EXP(-(Calibracion!$E$11:$E$20+A104))))/Calibracion!$C$21-Calibracion!$C$4</f>
        <v/>
      </c>
      <c r="C104" s="21">
        <f>ABS(B104)</f>
        <v/>
      </c>
      <c r="E104" s="4">
        <f>E103+0.0001</f>
        <v/>
      </c>
      <c r="F104" s="21">
        <f>SUMPRODUCT(Calibracion!$C$11:$C$20,1/(1+EXP(-(Calibracion!$E$11:$E$20+E104))))/Calibracion!$C$21-Calibracion!$C$4</f>
        <v/>
      </c>
      <c r="G104" s="21">
        <f>ABS(F104)</f>
        <v/>
      </c>
    </row>
    <row r="105">
      <c r="A105" s="8">
        <f>A104+0.01</f>
        <v/>
      </c>
      <c r="B105" s="21">
        <f>SUMPRODUCT(Calibracion!$C$11:$C$20,1/(1+EXP(-(Calibracion!$E$11:$E$20+A105))))/Calibracion!$C$21-Calibracion!$C$4</f>
        <v/>
      </c>
      <c r="C105" s="21">
        <f>ABS(B105)</f>
        <v/>
      </c>
      <c r="E105" s="4">
        <f>E104+0.0001</f>
        <v/>
      </c>
      <c r="F105" s="21">
        <f>SUMPRODUCT(Calibracion!$C$11:$C$20,1/(1+EXP(-(Calibracion!$E$11:$E$20+E105))))/Calibracion!$C$21-Calibracion!$C$4</f>
        <v/>
      </c>
      <c r="G105" s="21">
        <f>ABS(F105)</f>
        <v/>
      </c>
    </row>
    <row r="106">
      <c r="A106" s="8">
        <f>A105+0.01</f>
        <v/>
      </c>
      <c r="B106" s="21">
        <f>SUMPRODUCT(Calibracion!$C$11:$C$20,1/(1+EXP(-(Calibracion!$E$11:$E$20+A106))))/Calibracion!$C$21-Calibracion!$C$4</f>
        <v/>
      </c>
      <c r="C106" s="21">
        <f>ABS(B106)</f>
        <v/>
      </c>
      <c r="E106" s="4">
        <f>E105+0.0001</f>
        <v/>
      </c>
      <c r="F106" s="21">
        <f>SUMPRODUCT(Calibracion!$C$11:$C$20,1/(1+EXP(-(Calibracion!$E$11:$E$20+E106))))/Calibracion!$C$21-Calibracion!$C$4</f>
        <v/>
      </c>
      <c r="G106" s="21">
        <f>ABS(F106)</f>
        <v/>
      </c>
    </row>
    <row r="107">
      <c r="A107" s="8">
        <f>A106+0.01</f>
        <v/>
      </c>
      <c r="B107" s="21">
        <f>SUMPRODUCT(Calibracion!$C$11:$C$20,1/(1+EXP(-(Calibracion!$E$11:$E$20+A107))))/Calibracion!$C$21-Calibracion!$C$4</f>
        <v/>
      </c>
      <c r="C107" s="21">
        <f>ABS(B107)</f>
        <v/>
      </c>
      <c r="E107" s="4">
        <f>E106+0.0001</f>
        <v/>
      </c>
      <c r="F107" s="21">
        <f>SUMPRODUCT(Calibracion!$C$11:$C$20,1/(1+EXP(-(Calibracion!$E$11:$E$20+E107))))/Calibracion!$C$21-Calibracion!$C$4</f>
        <v/>
      </c>
      <c r="G107" s="21">
        <f>ABS(F107)</f>
        <v/>
      </c>
    </row>
    <row r="108">
      <c r="A108" s="8">
        <f>A107+0.01</f>
        <v/>
      </c>
      <c r="B108" s="21">
        <f>SUMPRODUCT(Calibracion!$C$11:$C$20,1/(1+EXP(-(Calibracion!$E$11:$E$20+A108))))/Calibracion!$C$21-Calibracion!$C$4</f>
        <v/>
      </c>
      <c r="C108" s="21">
        <f>ABS(B108)</f>
        <v/>
      </c>
      <c r="E108" s="4">
        <f>E107+0.0001</f>
        <v/>
      </c>
      <c r="F108" s="21">
        <f>SUMPRODUCT(Calibracion!$C$11:$C$20,1/(1+EXP(-(Calibracion!$E$11:$E$20+E108))))/Calibracion!$C$21-Calibracion!$C$4</f>
        <v/>
      </c>
      <c r="G108" s="21">
        <f>ABS(F108)</f>
        <v/>
      </c>
    </row>
    <row r="109">
      <c r="A109" s="8">
        <f>A108+0.01</f>
        <v/>
      </c>
      <c r="B109" s="21">
        <f>SUMPRODUCT(Calibracion!$C$11:$C$20,1/(1+EXP(-(Calibracion!$E$11:$E$20+A109))))/Calibracion!$C$21-Calibracion!$C$4</f>
        <v/>
      </c>
      <c r="C109" s="21">
        <f>ABS(B109)</f>
        <v/>
      </c>
      <c r="E109" s="4">
        <f>E108+0.0001</f>
        <v/>
      </c>
      <c r="F109" s="21">
        <f>SUMPRODUCT(Calibracion!$C$11:$C$20,1/(1+EXP(-(Calibracion!$E$11:$E$20+E109))))/Calibracion!$C$21-Calibracion!$C$4</f>
        <v/>
      </c>
      <c r="G109" s="21">
        <f>ABS(F109)</f>
        <v/>
      </c>
    </row>
    <row r="110">
      <c r="A110" s="8">
        <f>A109+0.01</f>
        <v/>
      </c>
      <c r="B110" s="21">
        <f>SUMPRODUCT(Calibracion!$C$11:$C$20,1/(1+EXP(-(Calibracion!$E$11:$E$20+A110))))/Calibracion!$C$21-Calibracion!$C$4</f>
        <v/>
      </c>
      <c r="C110" s="21">
        <f>ABS(B110)</f>
        <v/>
      </c>
      <c r="E110" s="4">
        <f>E109+0.0001</f>
        <v/>
      </c>
      <c r="F110" s="21">
        <f>SUMPRODUCT(Calibracion!$C$11:$C$20,1/(1+EXP(-(Calibracion!$E$11:$E$20+E110))))/Calibracion!$C$21-Calibracion!$C$4</f>
        <v/>
      </c>
      <c r="G110" s="21">
        <f>ABS(F110)</f>
        <v/>
      </c>
    </row>
    <row r="111">
      <c r="A111" s="8">
        <f>A110+0.01</f>
        <v/>
      </c>
      <c r="B111" s="21">
        <f>SUMPRODUCT(Calibracion!$C$11:$C$20,1/(1+EXP(-(Calibracion!$E$11:$E$20+A111))))/Calibracion!$C$21-Calibracion!$C$4</f>
        <v/>
      </c>
      <c r="C111" s="21">
        <f>ABS(B111)</f>
        <v/>
      </c>
      <c r="E111" s="4">
        <f>E110+0.0001</f>
        <v/>
      </c>
      <c r="F111" s="21">
        <f>SUMPRODUCT(Calibracion!$C$11:$C$20,1/(1+EXP(-(Calibracion!$E$11:$E$20+E111))))/Calibracion!$C$21-Calibracion!$C$4</f>
        <v/>
      </c>
      <c r="G111" s="21">
        <f>ABS(F111)</f>
        <v/>
      </c>
    </row>
    <row r="112">
      <c r="A112" s="8">
        <f>A111+0.01</f>
        <v/>
      </c>
      <c r="B112" s="21">
        <f>SUMPRODUCT(Calibracion!$C$11:$C$20,1/(1+EXP(-(Calibracion!$E$11:$E$20+A112))))/Calibracion!$C$21-Calibracion!$C$4</f>
        <v/>
      </c>
      <c r="C112" s="21">
        <f>ABS(B112)</f>
        <v/>
      </c>
      <c r="E112" s="4">
        <f>E111+0.0001</f>
        <v/>
      </c>
      <c r="F112" s="21">
        <f>SUMPRODUCT(Calibracion!$C$11:$C$20,1/(1+EXP(-(Calibracion!$E$11:$E$20+E112))))/Calibracion!$C$21-Calibracion!$C$4</f>
        <v/>
      </c>
      <c r="G112" s="21">
        <f>ABS(F112)</f>
        <v/>
      </c>
    </row>
    <row r="113">
      <c r="A113" s="8">
        <f>A112+0.01</f>
        <v/>
      </c>
      <c r="B113" s="21">
        <f>SUMPRODUCT(Calibracion!$C$11:$C$20,1/(1+EXP(-(Calibracion!$E$11:$E$20+A113))))/Calibracion!$C$21-Calibracion!$C$4</f>
        <v/>
      </c>
      <c r="C113" s="21">
        <f>ABS(B113)</f>
        <v/>
      </c>
      <c r="E113" s="4">
        <f>E112+0.0001</f>
        <v/>
      </c>
      <c r="F113" s="21">
        <f>SUMPRODUCT(Calibracion!$C$11:$C$20,1/(1+EXP(-(Calibracion!$E$11:$E$20+E113))))/Calibracion!$C$21-Calibracion!$C$4</f>
        <v/>
      </c>
      <c r="G113" s="21">
        <f>ABS(F113)</f>
        <v/>
      </c>
    </row>
    <row r="114">
      <c r="A114" s="8">
        <f>A113+0.01</f>
        <v/>
      </c>
      <c r="B114" s="21">
        <f>SUMPRODUCT(Calibracion!$C$11:$C$20,1/(1+EXP(-(Calibracion!$E$11:$E$20+A114))))/Calibracion!$C$21-Calibracion!$C$4</f>
        <v/>
      </c>
      <c r="C114" s="21">
        <f>ABS(B114)</f>
        <v/>
      </c>
      <c r="E114" s="4">
        <f>E113+0.0001</f>
        <v/>
      </c>
      <c r="F114" s="21">
        <f>SUMPRODUCT(Calibracion!$C$11:$C$20,1/(1+EXP(-(Calibracion!$E$11:$E$20+E114))))/Calibracion!$C$21-Calibracion!$C$4</f>
        <v/>
      </c>
      <c r="G114" s="21">
        <f>ABS(F114)</f>
        <v/>
      </c>
    </row>
    <row r="115">
      <c r="A115" s="8">
        <f>A114+0.01</f>
        <v/>
      </c>
      <c r="B115" s="21">
        <f>SUMPRODUCT(Calibracion!$C$11:$C$20,1/(1+EXP(-(Calibracion!$E$11:$E$20+A115))))/Calibracion!$C$21-Calibracion!$C$4</f>
        <v/>
      </c>
      <c r="C115" s="21">
        <f>ABS(B115)</f>
        <v/>
      </c>
      <c r="E115" s="4">
        <f>E114+0.0001</f>
        <v/>
      </c>
      <c r="F115" s="21">
        <f>SUMPRODUCT(Calibracion!$C$11:$C$20,1/(1+EXP(-(Calibracion!$E$11:$E$20+E115))))/Calibracion!$C$21-Calibracion!$C$4</f>
        <v/>
      </c>
      <c r="G115" s="21">
        <f>ABS(F115)</f>
        <v/>
      </c>
    </row>
    <row r="116">
      <c r="A116" s="8">
        <f>A115+0.01</f>
        <v/>
      </c>
      <c r="B116" s="21">
        <f>SUMPRODUCT(Calibracion!$C$11:$C$20,1/(1+EXP(-(Calibracion!$E$11:$E$20+A116))))/Calibracion!$C$21-Calibracion!$C$4</f>
        <v/>
      </c>
      <c r="C116" s="21">
        <f>ABS(B116)</f>
        <v/>
      </c>
      <c r="E116" s="4">
        <f>E115+0.0001</f>
        <v/>
      </c>
      <c r="F116" s="21">
        <f>SUMPRODUCT(Calibracion!$C$11:$C$20,1/(1+EXP(-(Calibracion!$E$11:$E$20+E116))))/Calibracion!$C$21-Calibracion!$C$4</f>
        <v/>
      </c>
      <c r="G116" s="21">
        <f>ABS(F116)</f>
        <v/>
      </c>
    </row>
    <row r="117">
      <c r="A117" s="8">
        <f>A116+0.01</f>
        <v/>
      </c>
      <c r="B117" s="21">
        <f>SUMPRODUCT(Calibracion!$C$11:$C$20,1/(1+EXP(-(Calibracion!$E$11:$E$20+A117))))/Calibracion!$C$21-Calibracion!$C$4</f>
        <v/>
      </c>
      <c r="C117" s="21">
        <f>ABS(B117)</f>
        <v/>
      </c>
      <c r="E117" s="4">
        <f>E116+0.0001</f>
        <v/>
      </c>
      <c r="F117" s="21">
        <f>SUMPRODUCT(Calibracion!$C$11:$C$20,1/(1+EXP(-(Calibracion!$E$11:$E$20+E117))))/Calibracion!$C$21-Calibracion!$C$4</f>
        <v/>
      </c>
      <c r="G117" s="21">
        <f>ABS(F117)</f>
        <v/>
      </c>
    </row>
    <row r="118">
      <c r="A118" s="8">
        <f>A117+0.01</f>
        <v/>
      </c>
      <c r="B118" s="21">
        <f>SUMPRODUCT(Calibracion!$C$11:$C$20,1/(1+EXP(-(Calibracion!$E$11:$E$20+A118))))/Calibracion!$C$21-Calibracion!$C$4</f>
        <v/>
      </c>
      <c r="C118" s="21">
        <f>ABS(B118)</f>
        <v/>
      </c>
      <c r="E118" s="4">
        <f>E117+0.0001</f>
        <v/>
      </c>
      <c r="F118" s="21">
        <f>SUMPRODUCT(Calibracion!$C$11:$C$20,1/(1+EXP(-(Calibracion!$E$11:$E$20+E118))))/Calibracion!$C$21-Calibracion!$C$4</f>
        <v/>
      </c>
      <c r="G118" s="21">
        <f>ABS(F118)</f>
        <v/>
      </c>
    </row>
    <row r="119">
      <c r="A119" s="8">
        <f>A118+0.01</f>
        <v/>
      </c>
      <c r="B119" s="21">
        <f>SUMPRODUCT(Calibracion!$C$11:$C$20,1/(1+EXP(-(Calibracion!$E$11:$E$20+A119))))/Calibracion!$C$21-Calibracion!$C$4</f>
        <v/>
      </c>
      <c r="C119" s="21">
        <f>ABS(B119)</f>
        <v/>
      </c>
      <c r="E119" s="4">
        <f>E118+0.0001</f>
        <v/>
      </c>
      <c r="F119" s="21">
        <f>SUMPRODUCT(Calibracion!$C$11:$C$20,1/(1+EXP(-(Calibracion!$E$11:$E$20+E119))))/Calibracion!$C$21-Calibracion!$C$4</f>
        <v/>
      </c>
      <c r="G119" s="21">
        <f>ABS(F119)</f>
        <v/>
      </c>
    </row>
    <row r="120">
      <c r="A120" s="8">
        <f>A119+0.01</f>
        <v/>
      </c>
      <c r="B120" s="21">
        <f>SUMPRODUCT(Calibracion!$C$11:$C$20,1/(1+EXP(-(Calibracion!$E$11:$E$20+A120))))/Calibracion!$C$21-Calibracion!$C$4</f>
        <v/>
      </c>
      <c r="C120" s="21">
        <f>ABS(B120)</f>
        <v/>
      </c>
      <c r="E120" s="4">
        <f>E119+0.0001</f>
        <v/>
      </c>
      <c r="F120" s="21">
        <f>SUMPRODUCT(Calibracion!$C$11:$C$20,1/(1+EXP(-(Calibracion!$E$11:$E$20+E120))))/Calibracion!$C$21-Calibracion!$C$4</f>
        <v/>
      </c>
      <c r="G120" s="21">
        <f>ABS(F120)</f>
        <v/>
      </c>
    </row>
    <row r="121">
      <c r="A121" s="8">
        <f>A120+0.01</f>
        <v/>
      </c>
      <c r="B121" s="21">
        <f>SUMPRODUCT(Calibracion!$C$11:$C$20,1/(1+EXP(-(Calibracion!$E$11:$E$20+A121))))/Calibracion!$C$21-Calibracion!$C$4</f>
        <v/>
      </c>
      <c r="C121" s="21">
        <f>ABS(B121)</f>
        <v/>
      </c>
      <c r="E121" s="4">
        <f>E120+0.0001</f>
        <v/>
      </c>
      <c r="F121" s="21">
        <f>SUMPRODUCT(Calibracion!$C$11:$C$20,1/(1+EXP(-(Calibracion!$E$11:$E$20+E121))))/Calibracion!$C$21-Calibracion!$C$4</f>
        <v/>
      </c>
      <c r="G121" s="21">
        <f>ABS(F121)</f>
        <v/>
      </c>
    </row>
    <row r="122">
      <c r="A122" s="8">
        <f>A121+0.01</f>
        <v/>
      </c>
      <c r="B122" s="21">
        <f>SUMPRODUCT(Calibracion!$C$11:$C$20,1/(1+EXP(-(Calibracion!$E$11:$E$20+A122))))/Calibracion!$C$21-Calibracion!$C$4</f>
        <v/>
      </c>
      <c r="C122" s="21">
        <f>ABS(B122)</f>
        <v/>
      </c>
      <c r="E122" s="4">
        <f>E121+0.0001</f>
        <v/>
      </c>
      <c r="F122" s="21">
        <f>SUMPRODUCT(Calibracion!$C$11:$C$20,1/(1+EXP(-(Calibracion!$E$11:$E$20+E122))))/Calibracion!$C$21-Calibracion!$C$4</f>
        <v/>
      </c>
      <c r="G122" s="21">
        <f>ABS(F122)</f>
        <v/>
      </c>
    </row>
    <row r="123">
      <c r="A123" s="8">
        <f>A122+0.01</f>
        <v/>
      </c>
      <c r="B123" s="21">
        <f>SUMPRODUCT(Calibracion!$C$11:$C$20,1/(1+EXP(-(Calibracion!$E$11:$E$20+A123))))/Calibracion!$C$21-Calibracion!$C$4</f>
        <v/>
      </c>
      <c r="C123" s="21">
        <f>ABS(B123)</f>
        <v/>
      </c>
      <c r="E123" s="4">
        <f>E122+0.0001</f>
        <v/>
      </c>
      <c r="F123" s="21">
        <f>SUMPRODUCT(Calibracion!$C$11:$C$20,1/(1+EXP(-(Calibracion!$E$11:$E$20+E123))))/Calibracion!$C$21-Calibracion!$C$4</f>
        <v/>
      </c>
      <c r="G123" s="21">
        <f>ABS(F123)</f>
        <v/>
      </c>
    </row>
    <row r="124">
      <c r="A124" s="8">
        <f>A123+0.01</f>
        <v/>
      </c>
      <c r="B124" s="21">
        <f>SUMPRODUCT(Calibracion!$C$11:$C$20,1/(1+EXP(-(Calibracion!$E$11:$E$20+A124))))/Calibracion!$C$21-Calibracion!$C$4</f>
        <v/>
      </c>
      <c r="C124" s="21">
        <f>ABS(B124)</f>
        <v/>
      </c>
      <c r="E124" s="4">
        <f>E123+0.0001</f>
        <v/>
      </c>
      <c r="F124" s="21">
        <f>SUMPRODUCT(Calibracion!$C$11:$C$20,1/(1+EXP(-(Calibracion!$E$11:$E$20+E124))))/Calibracion!$C$21-Calibracion!$C$4</f>
        <v/>
      </c>
      <c r="G124" s="21">
        <f>ABS(F124)</f>
        <v/>
      </c>
    </row>
    <row r="125">
      <c r="A125" s="8">
        <f>A124+0.01</f>
        <v/>
      </c>
      <c r="B125" s="21">
        <f>SUMPRODUCT(Calibracion!$C$11:$C$20,1/(1+EXP(-(Calibracion!$E$11:$E$20+A125))))/Calibracion!$C$21-Calibracion!$C$4</f>
        <v/>
      </c>
      <c r="C125" s="21">
        <f>ABS(B125)</f>
        <v/>
      </c>
      <c r="E125" s="4">
        <f>E124+0.0001</f>
        <v/>
      </c>
      <c r="F125" s="21">
        <f>SUMPRODUCT(Calibracion!$C$11:$C$20,1/(1+EXP(-(Calibracion!$E$11:$E$20+E125))))/Calibracion!$C$21-Calibracion!$C$4</f>
        <v/>
      </c>
      <c r="G125" s="21">
        <f>ABS(F125)</f>
        <v/>
      </c>
    </row>
    <row r="126">
      <c r="A126" s="8">
        <f>A125+0.01</f>
        <v/>
      </c>
      <c r="B126" s="21">
        <f>SUMPRODUCT(Calibracion!$C$11:$C$20,1/(1+EXP(-(Calibracion!$E$11:$E$20+A126))))/Calibracion!$C$21-Calibracion!$C$4</f>
        <v/>
      </c>
      <c r="C126" s="21">
        <f>ABS(B126)</f>
        <v/>
      </c>
      <c r="E126" s="4">
        <f>E125+0.0001</f>
        <v/>
      </c>
      <c r="F126" s="21">
        <f>SUMPRODUCT(Calibracion!$C$11:$C$20,1/(1+EXP(-(Calibracion!$E$11:$E$20+E126))))/Calibracion!$C$21-Calibracion!$C$4</f>
        <v/>
      </c>
      <c r="G126" s="21">
        <f>ABS(F126)</f>
        <v/>
      </c>
    </row>
    <row r="127">
      <c r="A127" s="8">
        <f>A126+0.01</f>
        <v/>
      </c>
      <c r="B127" s="21">
        <f>SUMPRODUCT(Calibracion!$C$11:$C$20,1/(1+EXP(-(Calibracion!$E$11:$E$20+A127))))/Calibracion!$C$21-Calibracion!$C$4</f>
        <v/>
      </c>
      <c r="C127" s="21">
        <f>ABS(B127)</f>
        <v/>
      </c>
      <c r="E127" s="4">
        <f>E126+0.0001</f>
        <v/>
      </c>
      <c r="F127" s="21">
        <f>SUMPRODUCT(Calibracion!$C$11:$C$20,1/(1+EXP(-(Calibracion!$E$11:$E$20+E127))))/Calibracion!$C$21-Calibracion!$C$4</f>
        <v/>
      </c>
      <c r="G127" s="21">
        <f>ABS(F127)</f>
        <v/>
      </c>
    </row>
    <row r="128">
      <c r="A128" s="8">
        <f>A127+0.01</f>
        <v/>
      </c>
      <c r="B128" s="21">
        <f>SUMPRODUCT(Calibracion!$C$11:$C$20,1/(1+EXP(-(Calibracion!$E$11:$E$20+A128))))/Calibracion!$C$21-Calibracion!$C$4</f>
        <v/>
      </c>
      <c r="C128" s="21">
        <f>ABS(B128)</f>
        <v/>
      </c>
      <c r="E128" s="4">
        <f>E127+0.0001</f>
        <v/>
      </c>
      <c r="F128" s="21">
        <f>SUMPRODUCT(Calibracion!$C$11:$C$20,1/(1+EXP(-(Calibracion!$E$11:$E$20+E128))))/Calibracion!$C$21-Calibracion!$C$4</f>
        <v/>
      </c>
      <c r="G128" s="21">
        <f>ABS(F128)</f>
        <v/>
      </c>
    </row>
    <row r="129">
      <c r="A129" s="8">
        <f>A128+0.01</f>
        <v/>
      </c>
      <c r="B129" s="21">
        <f>SUMPRODUCT(Calibracion!$C$11:$C$20,1/(1+EXP(-(Calibracion!$E$11:$E$20+A129))))/Calibracion!$C$21-Calibracion!$C$4</f>
        <v/>
      </c>
      <c r="C129" s="21">
        <f>ABS(B129)</f>
        <v/>
      </c>
      <c r="E129" s="4">
        <f>E128+0.0001</f>
        <v/>
      </c>
      <c r="F129" s="21">
        <f>SUMPRODUCT(Calibracion!$C$11:$C$20,1/(1+EXP(-(Calibracion!$E$11:$E$20+E129))))/Calibracion!$C$21-Calibracion!$C$4</f>
        <v/>
      </c>
      <c r="G129" s="21">
        <f>ABS(F129)</f>
        <v/>
      </c>
    </row>
    <row r="130">
      <c r="A130" s="8">
        <f>A129+0.01</f>
        <v/>
      </c>
      <c r="B130" s="21">
        <f>SUMPRODUCT(Calibracion!$C$11:$C$20,1/(1+EXP(-(Calibracion!$E$11:$E$20+A130))))/Calibracion!$C$21-Calibracion!$C$4</f>
        <v/>
      </c>
      <c r="C130" s="21">
        <f>ABS(B130)</f>
        <v/>
      </c>
      <c r="E130" s="4">
        <f>E129+0.0001</f>
        <v/>
      </c>
      <c r="F130" s="21">
        <f>SUMPRODUCT(Calibracion!$C$11:$C$20,1/(1+EXP(-(Calibracion!$E$11:$E$20+E130))))/Calibracion!$C$21-Calibracion!$C$4</f>
        <v/>
      </c>
      <c r="G130" s="21">
        <f>ABS(F130)</f>
        <v/>
      </c>
    </row>
    <row r="131">
      <c r="A131" s="8">
        <f>A130+0.01</f>
        <v/>
      </c>
      <c r="B131" s="21">
        <f>SUMPRODUCT(Calibracion!$C$11:$C$20,1/(1+EXP(-(Calibracion!$E$11:$E$20+A131))))/Calibracion!$C$21-Calibracion!$C$4</f>
        <v/>
      </c>
      <c r="C131" s="21">
        <f>ABS(B131)</f>
        <v/>
      </c>
      <c r="E131" s="4">
        <f>E130+0.0001</f>
        <v/>
      </c>
      <c r="F131" s="21">
        <f>SUMPRODUCT(Calibracion!$C$11:$C$20,1/(1+EXP(-(Calibracion!$E$11:$E$20+E131))))/Calibracion!$C$21-Calibracion!$C$4</f>
        <v/>
      </c>
      <c r="G131" s="21">
        <f>ABS(F131)</f>
        <v/>
      </c>
    </row>
    <row r="132">
      <c r="A132" s="8">
        <f>A131+0.01</f>
        <v/>
      </c>
      <c r="B132" s="21">
        <f>SUMPRODUCT(Calibracion!$C$11:$C$20,1/(1+EXP(-(Calibracion!$E$11:$E$20+A132))))/Calibracion!$C$21-Calibracion!$C$4</f>
        <v/>
      </c>
      <c r="C132" s="21">
        <f>ABS(B132)</f>
        <v/>
      </c>
      <c r="E132" s="4">
        <f>E131+0.0001</f>
        <v/>
      </c>
      <c r="F132" s="21">
        <f>SUMPRODUCT(Calibracion!$C$11:$C$20,1/(1+EXP(-(Calibracion!$E$11:$E$20+E132))))/Calibracion!$C$21-Calibracion!$C$4</f>
        <v/>
      </c>
      <c r="G132" s="21">
        <f>ABS(F132)</f>
        <v/>
      </c>
    </row>
    <row r="133">
      <c r="A133" s="8">
        <f>A132+0.01</f>
        <v/>
      </c>
      <c r="B133" s="21">
        <f>SUMPRODUCT(Calibracion!$C$11:$C$20,1/(1+EXP(-(Calibracion!$E$11:$E$20+A133))))/Calibracion!$C$21-Calibracion!$C$4</f>
        <v/>
      </c>
      <c r="C133" s="21">
        <f>ABS(B133)</f>
        <v/>
      </c>
      <c r="E133" s="4">
        <f>E132+0.0001</f>
        <v/>
      </c>
      <c r="F133" s="21">
        <f>SUMPRODUCT(Calibracion!$C$11:$C$20,1/(1+EXP(-(Calibracion!$E$11:$E$20+E133))))/Calibracion!$C$21-Calibracion!$C$4</f>
        <v/>
      </c>
      <c r="G133" s="21">
        <f>ABS(F133)</f>
        <v/>
      </c>
    </row>
    <row r="134">
      <c r="A134" s="8">
        <f>A133+0.01</f>
        <v/>
      </c>
      <c r="B134" s="21">
        <f>SUMPRODUCT(Calibracion!$C$11:$C$20,1/(1+EXP(-(Calibracion!$E$11:$E$20+A134))))/Calibracion!$C$21-Calibracion!$C$4</f>
        <v/>
      </c>
      <c r="C134" s="21">
        <f>ABS(B134)</f>
        <v/>
      </c>
      <c r="E134" s="4">
        <f>E133+0.0001</f>
        <v/>
      </c>
      <c r="F134" s="21">
        <f>SUMPRODUCT(Calibracion!$C$11:$C$20,1/(1+EXP(-(Calibracion!$E$11:$E$20+E134))))/Calibracion!$C$21-Calibracion!$C$4</f>
        <v/>
      </c>
      <c r="G134" s="21">
        <f>ABS(F134)</f>
        <v/>
      </c>
    </row>
    <row r="135">
      <c r="A135" s="8">
        <f>A134+0.01</f>
        <v/>
      </c>
      <c r="B135" s="21">
        <f>SUMPRODUCT(Calibracion!$C$11:$C$20,1/(1+EXP(-(Calibracion!$E$11:$E$20+A135))))/Calibracion!$C$21-Calibracion!$C$4</f>
        <v/>
      </c>
      <c r="C135" s="21">
        <f>ABS(B135)</f>
        <v/>
      </c>
      <c r="E135" s="4">
        <f>E134+0.0001</f>
        <v/>
      </c>
      <c r="F135" s="21">
        <f>SUMPRODUCT(Calibracion!$C$11:$C$20,1/(1+EXP(-(Calibracion!$E$11:$E$20+E135))))/Calibracion!$C$21-Calibracion!$C$4</f>
        <v/>
      </c>
      <c r="G135" s="21">
        <f>ABS(F135)</f>
        <v/>
      </c>
    </row>
    <row r="136">
      <c r="A136" s="8">
        <f>A135+0.01</f>
        <v/>
      </c>
      <c r="B136" s="21">
        <f>SUMPRODUCT(Calibracion!$C$11:$C$20,1/(1+EXP(-(Calibracion!$E$11:$E$20+A136))))/Calibracion!$C$21-Calibracion!$C$4</f>
        <v/>
      </c>
      <c r="C136" s="21">
        <f>ABS(B136)</f>
        <v/>
      </c>
      <c r="E136" s="4">
        <f>E135+0.0001</f>
        <v/>
      </c>
      <c r="F136" s="21">
        <f>SUMPRODUCT(Calibracion!$C$11:$C$20,1/(1+EXP(-(Calibracion!$E$11:$E$20+E136))))/Calibracion!$C$21-Calibracion!$C$4</f>
        <v/>
      </c>
      <c r="G136" s="21">
        <f>ABS(F136)</f>
        <v/>
      </c>
    </row>
    <row r="137">
      <c r="A137" s="8">
        <f>A136+0.01</f>
        <v/>
      </c>
      <c r="B137" s="21">
        <f>SUMPRODUCT(Calibracion!$C$11:$C$20,1/(1+EXP(-(Calibracion!$E$11:$E$20+A137))))/Calibracion!$C$21-Calibracion!$C$4</f>
        <v/>
      </c>
      <c r="C137" s="21">
        <f>ABS(B137)</f>
        <v/>
      </c>
      <c r="E137" s="4">
        <f>E136+0.0001</f>
        <v/>
      </c>
      <c r="F137" s="21">
        <f>SUMPRODUCT(Calibracion!$C$11:$C$20,1/(1+EXP(-(Calibracion!$E$11:$E$20+E137))))/Calibracion!$C$21-Calibracion!$C$4</f>
        <v/>
      </c>
      <c r="G137" s="21">
        <f>ABS(F137)</f>
        <v/>
      </c>
    </row>
    <row r="138">
      <c r="A138" s="8">
        <f>A137+0.01</f>
        <v/>
      </c>
      <c r="B138" s="21">
        <f>SUMPRODUCT(Calibracion!$C$11:$C$20,1/(1+EXP(-(Calibracion!$E$11:$E$20+A138))))/Calibracion!$C$21-Calibracion!$C$4</f>
        <v/>
      </c>
      <c r="C138" s="21">
        <f>ABS(B138)</f>
        <v/>
      </c>
      <c r="E138" s="4">
        <f>E137+0.0001</f>
        <v/>
      </c>
      <c r="F138" s="21">
        <f>SUMPRODUCT(Calibracion!$C$11:$C$20,1/(1+EXP(-(Calibracion!$E$11:$E$20+E138))))/Calibracion!$C$21-Calibracion!$C$4</f>
        <v/>
      </c>
      <c r="G138" s="21">
        <f>ABS(F138)</f>
        <v/>
      </c>
    </row>
    <row r="139">
      <c r="A139" s="8">
        <f>A138+0.01</f>
        <v/>
      </c>
      <c r="B139" s="21">
        <f>SUMPRODUCT(Calibracion!$C$11:$C$20,1/(1+EXP(-(Calibracion!$E$11:$E$20+A139))))/Calibracion!$C$21-Calibracion!$C$4</f>
        <v/>
      </c>
      <c r="C139" s="21">
        <f>ABS(B139)</f>
        <v/>
      </c>
      <c r="E139" s="4">
        <f>E138+0.0001</f>
        <v/>
      </c>
      <c r="F139" s="21">
        <f>SUMPRODUCT(Calibracion!$C$11:$C$20,1/(1+EXP(-(Calibracion!$E$11:$E$20+E139))))/Calibracion!$C$21-Calibracion!$C$4</f>
        <v/>
      </c>
      <c r="G139" s="21">
        <f>ABS(F139)</f>
        <v/>
      </c>
    </row>
    <row r="140">
      <c r="A140" s="8">
        <f>A139+0.01</f>
        <v/>
      </c>
      <c r="B140" s="21">
        <f>SUMPRODUCT(Calibracion!$C$11:$C$20,1/(1+EXP(-(Calibracion!$E$11:$E$20+A140))))/Calibracion!$C$21-Calibracion!$C$4</f>
        <v/>
      </c>
      <c r="C140" s="21">
        <f>ABS(B140)</f>
        <v/>
      </c>
      <c r="E140" s="4">
        <f>E139+0.0001</f>
        <v/>
      </c>
      <c r="F140" s="21">
        <f>SUMPRODUCT(Calibracion!$C$11:$C$20,1/(1+EXP(-(Calibracion!$E$11:$E$20+E140))))/Calibracion!$C$21-Calibracion!$C$4</f>
        <v/>
      </c>
      <c r="G140" s="21">
        <f>ABS(F140)</f>
        <v/>
      </c>
    </row>
    <row r="141">
      <c r="A141" s="8">
        <f>A140+0.01</f>
        <v/>
      </c>
      <c r="B141" s="21">
        <f>SUMPRODUCT(Calibracion!$C$11:$C$20,1/(1+EXP(-(Calibracion!$E$11:$E$20+A141))))/Calibracion!$C$21-Calibracion!$C$4</f>
        <v/>
      </c>
      <c r="C141" s="21">
        <f>ABS(B141)</f>
        <v/>
      </c>
      <c r="E141" s="4">
        <f>E140+0.0001</f>
        <v/>
      </c>
      <c r="F141" s="21">
        <f>SUMPRODUCT(Calibracion!$C$11:$C$20,1/(1+EXP(-(Calibracion!$E$11:$E$20+E141))))/Calibracion!$C$21-Calibracion!$C$4</f>
        <v/>
      </c>
      <c r="G141" s="21">
        <f>ABS(F141)</f>
        <v/>
      </c>
    </row>
    <row r="142">
      <c r="A142" s="8">
        <f>A141+0.01</f>
        <v/>
      </c>
      <c r="B142" s="21">
        <f>SUMPRODUCT(Calibracion!$C$11:$C$20,1/(1+EXP(-(Calibracion!$E$11:$E$20+A142))))/Calibracion!$C$21-Calibracion!$C$4</f>
        <v/>
      </c>
      <c r="C142" s="21">
        <f>ABS(B142)</f>
        <v/>
      </c>
      <c r="E142" s="4">
        <f>E141+0.0001</f>
        <v/>
      </c>
      <c r="F142" s="21">
        <f>SUMPRODUCT(Calibracion!$C$11:$C$20,1/(1+EXP(-(Calibracion!$E$11:$E$20+E142))))/Calibracion!$C$21-Calibracion!$C$4</f>
        <v/>
      </c>
      <c r="G142" s="21">
        <f>ABS(F142)</f>
        <v/>
      </c>
    </row>
    <row r="143">
      <c r="A143" s="8">
        <f>A142+0.01</f>
        <v/>
      </c>
      <c r="B143" s="21">
        <f>SUMPRODUCT(Calibracion!$C$11:$C$20,1/(1+EXP(-(Calibracion!$E$11:$E$20+A143))))/Calibracion!$C$21-Calibracion!$C$4</f>
        <v/>
      </c>
      <c r="C143" s="21">
        <f>ABS(B143)</f>
        <v/>
      </c>
      <c r="E143" s="4">
        <f>E142+0.0001</f>
        <v/>
      </c>
      <c r="F143" s="21">
        <f>SUMPRODUCT(Calibracion!$C$11:$C$20,1/(1+EXP(-(Calibracion!$E$11:$E$20+E143))))/Calibracion!$C$21-Calibracion!$C$4</f>
        <v/>
      </c>
      <c r="G143" s="21">
        <f>ABS(F143)</f>
        <v/>
      </c>
    </row>
    <row r="144">
      <c r="A144" s="8">
        <f>A143+0.01</f>
        <v/>
      </c>
      <c r="B144" s="21">
        <f>SUMPRODUCT(Calibracion!$C$11:$C$20,1/(1+EXP(-(Calibracion!$E$11:$E$20+A144))))/Calibracion!$C$21-Calibracion!$C$4</f>
        <v/>
      </c>
      <c r="C144" s="21">
        <f>ABS(B144)</f>
        <v/>
      </c>
      <c r="E144" s="4">
        <f>E143+0.0001</f>
        <v/>
      </c>
      <c r="F144" s="21">
        <f>SUMPRODUCT(Calibracion!$C$11:$C$20,1/(1+EXP(-(Calibracion!$E$11:$E$20+E144))))/Calibracion!$C$21-Calibracion!$C$4</f>
        <v/>
      </c>
      <c r="G144" s="21">
        <f>ABS(F144)</f>
        <v/>
      </c>
    </row>
    <row r="145">
      <c r="A145" s="8">
        <f>A144+0.01</f>
        <v/>
      </c>
      <c r="B145" s="21">
        <f>SUMPRODUCT(Calibracion!$C$11:$C$20,1/(1+EXP(-(Calibracion!$E$11:$E$20+A145))))/Calibracion!$C$21-Calibracion!$C$4</f>
        <v/>
      </c>
      <c r="C145" s="21">
        <f>ABS(B145)</f>
        <v/>
      </c>
      <c r="E145" s="4">
        <f>E144+0.0001</f>
        <v/>
      </c>
      <c r="F145" s="21">
        <f>SUMPRODUCT(Calibracion!$C$11:$C$20,1/(1+EXP(-(Calibracion!$E$11:$E$20+E145))))/Calibracion!$C$21-Calibracion!$C$4</f>
        <v/>
      </c>
      <c r="G145" s="21">
        <f>ABS(F145)</f>
        <v/>
      </c>
    </row>
    <row r="146">
      <c r="A146" s="8">
        <f>A145+0.01</f>
        <v/>
      </c>
      <c r="B146" s="21">
        <f>SUMPRODUCT(Calibracion!$C$11:$C$20,1/(1+EXP(-(Calibracion!$E$11:$E$20+A146))))/Calibracion!$C$21-Calibracion!$C$4</f>
        <v/>
      </c>
      <c r="C146" s="21">
        <f>ABS(B146)</f>
        <v/>
      </c>
      <c r="E146" s="4">
        <f>E145+0.0001</f>
        <v/>
      </c>
      <c r="F146" s="21">
        <f>SUMPRODUCT(Calibracion!$C$11:$C$20,1/(1+EXP(-(Calibracion!$E$11:$E$20+E146))))/Calibracion!$C$21-Calibracion!$C$4</f>
        <v/>
      </c>
      <c r="G146" s="21">
        <f>ABS(F146)</f>
        <v/>
      </c>
    </row>
    <row r="147">
      <c r="A147" s="8">
        <f>A146+0.01</f>
        <v/>
      </c>
      <c r="B147" s="21">
        <f>SUMPRODUCT(Calibracion!$C$11:$C$20,1/(1+EXP(-(Calibracion!$E$11:$E$20+A147))))/Calibracion!$C$21-Calibracion!$C$4</f>
        <v/>
      </c>
      <c r="C147" s="21">
        <f>ABS(B147)</f>
        <v/>
      </c>
      <c r="E147" s="4">
        <f>E146+0.0001</f>
        <v/>
      </c>
      <c r="F147" s="21">
        <f>SUMPRODUCT(Calibracion!$C$11:$C$20,1/(1+EXP(-(Calibracion!$E$11:$E$20+E147))))/Calibracion!$C$21-Calibracion!$C$4</f>
        <v/>
      </c>
      <c r="G147" s="21">
        <f>ABS(F147)</f>
        <v/>
      </c>
    </row>
    <row r="148">
      <c r="A148" s="8">
        <f>A147+0.01</f>
        <v/>
      </c>
      <c r="B148" s="21">
        <f>SUMPRODUCT(Calibracion!$C$11:$C$20,1/(1+EXP(-(Calibracion!$E$11:$E$20+A148))))/Calibracion!$C$21-Calibracion!$C$4</f>
        <v/>
      </c>
      <c r="C148" s="21">
        <f>ABS(B148)</f>
        <v/>
      </c>
      <c r="E148" s="4">
        <f>E147+0.0001</f>
        <v/>
      </c>
      <c r="F148" s="21">
        <f>SUMPRODUCT(Calibracion!$C$11:$C$20,1/(1+EXP(-(Calibracion!$E$11:$E$20+E148))))/Calibracion!$C$21-Calibracion!$C$4</f>
        <v/>
      </c>
      <c r="G148" s="21">
        <f>ABS(F148)</f>
        <v/>
      </c>
    </row>
    <row r="149">
      <c r="A149" s="8">
        <f>A148+0.01</f>
        <v/>
      </c>
      <c r="B149" s="21">
        <f>SUMPRODUCT(Calibracion!$C$11:$C$20,1/(1+EXP(-(Calibracion!$E$11:$E$20+A149))))/Calibracion!$C$21-Calibracion!$C$4</f>
        <v/>
      </c>
      <c r="C149" s="21">
        <f>ABS(B149)</f>
        <v/>
      </c>
      <c r="E149" s="4">
        <f>E148+0.0001</f>
        <v/>
      </c>
      <c r="F149" s="21">
        <f>SUMPRODUCT(Calibracion!$C$11:$C$20,1/(1+EXP(-(Calibracion!$E$11:$E$20+E149))))/Calibracion!$C$21-Calibracion!$C$4</f>
        <v/>
      </c>
      <c r="G149" s="21">
        <f>ABS(F149)</f>
        <v/>
      </c>
    </row>
    <row r="150">
      <c r="A150" s="8">
        <f>A149+0.01</f>
        <v/>
      </c>
      <c r="B150" s="21">
        <f>SUMPRODUCT(Calibracion!$C$11:$C$20,1/(1+EXP(-(Calibracion!$E$11:$E$20+A150))))/Calibracion!$C$21-Calibracion!$C$4</f>
        <v/>
      </c>
      <c r="C150" s="21">
        <f>ABS(B150)</f>
        <v/>
      </c>
      <c r="E150" s="4">
        <f>E149+0.0001</f>
        <v/>
      </c>
      <c r="F150" s="21">
        <f>SUMPRODUCT(Calibracion!$C$11:$C$20,1/(1+EXP(-(Calibracion!$E$11:$E$20+E150))))/Calibracion!$C$21-Calibracion!$C$4</f>
        <v/>
      </c>
      <c r="G150" s="21">
        <f>ABS(F150)</f>
        <v/>
      </c>
    </row>
    <row r="151">
      <c r="A151" s="8">
        <f>A150+0.01</f>
        <v/>
      </c>
      <c r="B151" s="21">
        <f>SUMPRODUCT(Calibracion!$C$11:$C$20,1/(1+EXP(-(Calibracion!$E$11:$E$20+A151))))/Calibracion!$C$21-Calibracion!$C$4</f>
        <v/>
      </c>
      <c r="C151" s="21">
        <f>ABS(B151)</f>
        <v/>
      </c>
      <c r="E151" s="4">
        <f>E150+0.0001</f>
        <v/>
      </c>
      <c r="F151" s="21">
        <f>SUMPRODUCT(Calibracion!$C$11:$C$20,1/(1+EXP(-(Calibracion!$E$11:$E$20+E151))))/Calibracion!$C$21-Calibracion!$C$4</f>
        <v/>
      </c>
      <c r="G151" s="21">
        <f>ABS(F151)</f>
        <v/>
      </c>
    </row>
    <row r="152">
      <c r="A152" s="8">
        <f>A151+0.01</f>
        <v/>
      </c>
      <c r="B152" s="21">
        <f>SUMPRODUCT(Calibracion!$C$11:$C$20,1/(1+EXP(-(Calibracion!$E$11:$E$20+A152))))/Calibracion!$C$21-Calibracion!$C$4</f>
        <v/>
      </c>
      <c r="C152" s="21">
        <f>ABS(B152)</f>
        <v/>
      </c>
      <c r="E152" s="4">
        <f>E151+0.0001</f>
        <v/>
      </c>
      <c r="F152" s="21">
        <f>SUMPRODUCT(Calibracion!$C$11:$C$20,1/(1+EXP(-(Calibracion!$E$11:$E$20+E152))))/Calibracion!$C$21-Calibracion!$C$4</f>
        <v/>
      </c>
      <c r="G152" s="21">
        <f>ABS(F152)</f>
        <v/>
      </c>
    </row>
    <row r="153">
      <c r="A153" s="8">
        <f>A152+0.01</f>
        <v/>
      </c>
      <c r="B153" s="21">
        <f>SUMPRODUCT(Calibracion!$C$11:$C$20,1/(1+EXP(-(Calibracion!$E$11:$E$20+A153))))/Calibracion!$C$21-Calibracion!$C$4</f>
        <v/>
      </c>
      <c r="C153" s="21">
        <f>ABS(B153)</f>
        <v/>
      </c>
      <c r="E153" s="4">
        <f>E152+0.0001</f>
        <v/>
      </c>
      <c r="F153" s="21">
        <f>SUMPRODUCT(Calibracion!$C$11:$C$20,1/(1+EXP(-(Calibracion!$E$11:$E$20+E153))))/Calibracion!$C$21-Calibracion!$C$4</f>
        <v/>
      </c>
      <c r="G153" s="21">
        <f>ABS(F153)</f>
        <v/>
      </c>
    </row>
    <row r="154">
      <c r="A154" s="8">
        <f>A153+0.01</f>
        <v/>
      </c>
      <c r="B154" s="21">
        <f>SUMPRODUCT(Calibracion!$C$11:$C$20,1/(1+EXP(-(Calibracion!$E$11:$E$20+A154))))/Calibracion!$C$21-Calibracion!$C$4</f>
        <v/>
      </c>
      <c r="C154" s="21">
        <f>ABS(B154)</f>
        <v/>
      </c>
      <c r="E154" s="4">
        <f>E153+0.0001</f>
        <v/>
      </c>
      <c r="F154" s="21">
        <f>SUMPRODUCT(Calibracion!$C$11:$C$20,1/(1+EXP(-(Calibracion!$E$11:$E$20+E154))))/Calibracion!$C$21-Calibracion!$C$4</f>
        <v/>
      </c>
      <c r="G154" s="21">
        <f>ABS(F154)</f>
        <v/>
      </c>
    </row>
    <row r="155">
      <c r="A155" s="8">
        <f>A154+0.01</f>
        <v/>
      </c>
      <c r="B155" s="21">
        <f>SUMPRODUCT(Calibracion!$C$11:$C$20,1/(1+EXP(-(Calibracion!$E$11:$E$20+A155))))/Calibracion!$C$21-Calibracion!$C$4</f>
        <v/>
      </c>
      <c r="C155" s="21">
        <f>ABS(B155)</f>
        <v/>
      </c>
      <c r="E155" s="4">
        <f>E154+0.0001</f>
        <v/>
      </c>
      <c r="F155" s="21">
        <f>SUMPRODUCT(Calibracion!$C$11:$C$20,1/(1+EXP(-(Calibracion!$E$11:$E$20+E155))))/Calibracion!$C$21-Calibracion!$C$4</f>
        <v/>
      </c>
      <c r="G155" s="21">
        <f>ABS(F155)</f>
        <v/>
      </c>
    </row>
    <row r="156">
      <c r="A156" s="8">
        <f>A155+0.01</f>
        <v/>
      </c>
      <c r="B156" s="21">
        <f>SUMPRODUCT(Calibracion!$C$11:$C$20,1/(1+EXP(-(Calibracion!$E$11:$E$20+A156))))/Calibracion!$C$21-Calibracion!$C$4</f>
        <v/>
      </c>
      <c r="C156" s="21">
        <f>ABS(B156)</f>
        <v/>
      </c>
      <c r="E156" s="4">
        <f>E155+0.0001</f>
        <v/>
      </c>
      <c r="F156" s="21">
        <f>SUMPRODUCT(Calibracion!$C$11:$C$20,1/(1+EXP(-(Calibracion!$E$11:$E$20+E156))))/Calibracion!$C$21-Calibracion!$C$4</f>
        <v/>
      </c>
      <c r="G156" s="21">
        <f>ABS(F156)</f>
        <v/>
      </c>
    </row>
    <row r="157">
      <c r="A157" s="8">
        <f>A156+0.01</f>
        <v/>
      </c>
      <c r="B157" s="21">
        <f>SUMPRODUCT(Calibracion!$C$11:$C$20,1/(1+EXP(-(Calibracion!$E$11:$E$20+A157))))/Calibracion!$C$21-Calibracion!$C$4</f>
        <v/>
      </c>
      <c r="C157" s="21">
        <f>ABS(B157)</f>
        <v/>
      </c>
      <c r="E157" s="4">
        <f>E156+0.0001</f>
        <v/>
      </c>
      <c r="F157" s="21">
        <f>SUMPRODUCT(Calibracion!$C$11:$C$20,1/(1+EXP(-(Calibracion!$E$11:$E$20+E157))))/Calibracion!$C$21-Calibracion!$C$4</f>
        <v/>
      </c>
      <c r="G157" s="21">
        <f>ABS(F157)</f>
        <v/>
      </c>
    </row>
    <row r="158">
      <c r="A158" s="8">
        <f>A157+0.01</f>
        <v/>
      </c>
      <c r="B158" s="21">
        <f>SUMPRODUCT(Calibracion!$C$11:$C$20,1/(1+EXP(-(Calibracion!$E$11:$E$20+A158))))/Calibracion!$C$21-Calibracion!$C$4</f>
        <v/>
      </c>
      <c r="C158" s="21">
        <f>ABS(B158)</f>
        <v/>
      </c>
      <c r="E158" s="4">
        <f>E157+0.0001</f>
        <v/>
      </c>
      <c r="F158" s="21">
        <f>SUMPRODUCT(Calibracion!$C$11:$C$20,1/(1+EXP(-(Calibracion!$E$11:$E$20+E158))))/Calibracion!$C$21-Calibracion!$C$4</f>
        <v/>
      </c>
      <c r="G158" s="21">
        <f>ABS(F158)</f>
        <v/>
      </c>
    </row>
    <row r="159">
      <c r="A159" s="8">
        <f>A158+0.01</f>
        <v/>
      </c>
      <c r="B159" s="21">
        <f>SUMPRODUCT(Calibracion!$C$11:$C$20,1/(1+EXP(-(Calibracion!$E$11:$E$20+A159))))/Calibracion!$C$21-Calibracion!$C$4</f>
        <v/>
      </c>
      <c r="C159" s="21">
        <f>ABS(B159)</f>
        <v/>
      </c>
      <c r="E159" s="4">
        <f>E158+0.0001</f>
        <v/>
      </c>
      <c r="F159" s="21">
        <f>SUMPRODUCT(Calibracion!$C$11:$C$20,1/(1+EXP(-(Calibracion!$E$11:$E$20+E159))))/Calibracion!$C$21-Calibracion!$C$4</f>
        <v/>
      </c>
      <c r="G159" s="21">
        <f>ABS(F159)</f>
        <v/>
      </c>
    </row>
    <row r="160">
      <c r="A160" s="8">
        <f>A159+0.01</f>
        <v/>
      </c>
      <c r="B160" s="21">
        <f>SUMPRODUCT(Calibracion!$C$11:$C$20,1/(1+EXP(-(Calibracion!$E$11:$E$20+A160))))/Calibracion!$C$21-Calibracion!$C$4</f>
        <v/>
      </c>
      <c r="C160" s="21">
        <f>ABS(B160)</f>
        <v/>
      </c>
      <c r="E160" s="4">
        <f>E159+0.0001</f>
        <v/>
      </c>
      <c r="F160" s="21">
        <f>SUMPRODUCT(Calibracion!$C$11:$C$20,1/(1+EXP(-(Calibracion!$E$11:$E$20+E160))))/Calibracion!$C$21-Calibracion!$C$4</f>
        <v/>
      </c>
      <c r="G160" s="21">
        <f>ABS(F160)</f>
        <v/>
      </c>
    </row>
    <row r="161">
      <c r="A161" s="8">
        <f>A160+0.01</f>
        <v/>
      </c>
      <c r="B161" s="21">
        <f>SUMPRODUCT(Calibracion!$C$11:$C$20,1/(1+EXP(-(Calibracion!$E$11:$E$20+A161))))/Calibracion!$C$21-Calibracion!$C$4</f>
        <v/>
      </c>
      <c r="C161" s="21">
        <f>ABS(B161)</f>
        <v/>
      </c>
      <c r="E161" s="4">
        <f>E160+0.0001</f>
        <v/>
      </c>
      <c r="F161" s="21">
        <f>SUMPRODUCT(Calibracion!$C$11:$C$20,1/(1+EXP(-(Calibracion!$E$11:$E$20+E161))))/Calibracion!$C$21-Calibracion!$C$4</f>
        <v/>
      </c>
      <c r="G161" s="21">
        <f>ABS(F161)</f>
        <v/>
      </c>
    </row>
    <row r="162">
      <c r="A162" s="8">
        <f>A161+0.01</f>
        <v/>
      </c>
      <c r="B162" s="21">
        <f>SUMPRODUCT(Calibracion!$C$11:$C$20,1/(1+EXP(-(Calibracion!$E$11:$E$20+A162))))/Calibracion!$C$21-Calibracion!$C$4</f>
        <v/>
      </c>
      <c r="C162" s="21">
        <f>ABS(B162)</f>
        <v/>
      </c>
      <c r="E162" s="4">
        <f>E161+0.0001</f>
        <v/>
      </c>
      <c r="F162" s="21">
        <f>SUMPRODUCT(Calibracion!$C$11:$C$20,1/(1+EXP(-(Calibracion!$E$11:$E$20+E162))))/Calibracion!$C$21-Calibracion!$C$4</f>
        <v/>
      </c>
      <c r="G162" s="21">
        <f>ABS(F162)</f>
        <v/>
      </c>
    </row>
    <row r="163">
      <c r="A163" s="8">
        <f>A162+0.01</f>
        <v/>
      </c>
      <c r="B163" s="21">
        <f>SUMPRODUCT(Calibracion!$C$11:$C$20,1/(1+EXP(-(Calibracion!$E$11:$E$20+A163))))/Calibracion!$C$21-Calibracion!$C$4</f>
        <v/>
      </c>
      <c r="C163" s="21">
        <f>ABS(B163)</f>
        <v/>
      </c>
      <c r="E163" s="4">
        <f>E162+0.0001</f>
        <v/>
      </c>
      <c r="F163" s="21">
        <f>SUMPRODUCT(Calibracion!$C$11:$C$20,1/(1+EXP(-(Calibracion!$E$11:$E$20+E163))))/Calibracion!$C$21-Calibracion!$C$4</f>
        <v/>
      </c>
      <c r="G163" s="21">
        <f>ABS(F163)</f>
        <v/>
      </c>
    </row>
    <row r="164">
      <c r="A164" s="8">
        <f>A163+0.01</f>
        <v/>
      </c>
      <c r="B164" s="21">
        <f>SUMPRODUCT(Calibracion!$C$11:$C$20,1/(1+EXP(-(Calibracion!$E$11:$E$20+A164))))/Calibracion!$C$21-Calibracion!$C$4</f>
        <v/>
      </c>
      <c r="C164" s="21">
        <f>ABS(B164)</f>
        <v/>
      </c>
      <c r="E164" s="4">
        <f>E163+0.0001</f>
        <v/>
      </c>
      <c r="F164" s="21">
        <f>SUMPRODUCT(Calibracion!$C$11:$C$20,1/(1+EXP(-(Calibracion!$E$11:$E$20+E164))))/Calibracion!$C$21-Calibracion!$C$4</f>
        <v/>
      </c>
      <c r="G164" s="21">
        <f>ABS(F164)</f>
        <v/>
      </c>
    </row>
    <row r="165">
      <c r="A165" s="8">
        <f>A164+0.01</f>
        <v/>
      </c>
      <c r="B165" s="21">
        <f>SUMPRODUCT(Calibracion!$C$11:$C$20,1/(1+EXP(-(Calibracion!$E$11:$E$20+A165))))/Calibracion!$C$21-Calibracion!$C$4</f>
        <v/>
      </c>
      <c r="C165" s="21">
        <f>ABS(B165)</f>
        <v/>
      </c>
      <c r="E165" s="4">
        <f>E164+0.0001</f>
        <v/>
      </c>
      <c r="F165" s="21">
        <f>SUMPRODUCT(Calibracion!$C$11:$C$20,1/(1+EXP(-(Calibracion!$E$11:$E$20+E165))))/Calibracion!$C$21-Calibracion!$C$4</f>
        <v/>
      </c>
      <c r="G165" s="21">
        <f>ABS(F165)</f>
        <v/>
      </c>
    </row>
    <row r="166">
      <c r="A166" s="8">
        <f>A165+0.01</f>
        <v/>
      </c>
      <c r="B166" s="21">
        <f>SUMPRODUCT(Calibracion!$C$11:$C$20,1/(1+EXP(-(Calibracion!$E$11:$E$20+A166))))/Calibracion!$C$21-Calibracion!$C$4</f>
        <v/>
      </c>
      <c r="C166" s="21">
        <f>ABS(B166)</f>
        <v/>
      </c>
      <c r="E166" s="4">
        <f>E165+0.0001</f>
        <v/>
      </c>
      <c r="F166" s="21">
        <f>SUMPRODUCT(Calibracion!$C$11:$C$20,1/(1+EXP(-(Calibracion!$E$11:$E$20+E166))))/Calibracion!$C$21-Calibracion!$C$4</f>
        <v/>
      </c>
      <c r="G166" s="21">
        <f>ABS(F166)</f>
        <v/>
      </c>
    </row>
    <row r="167">
      <c r="A167" s="8">
        <f>A166+0.01</f>
        <v/>
      </c>
      <c r="B167" s="21">
        <f>SUMPRODUCT(Calibracion!$C$11:$C$20,1/(1+EXP(-(Calibracion!$E$11:$E$20+A167))))/Calibracion!$C$21-Calibracion!$C$4</f>
        <v/>
      </c>
      <c r="C167" s="21">
        <f>ABS(B167)</f>
        <v/>
      </c>
      <c r="E167" s="4">
        <f>E166+0.0001</f>
        <v/>
      </c>
      <c r="F167" s="21">
        <f>SUMPRODUCT(Calibracion!$C$11:$C$20,1/(1+EXP(-(Calibracion!$E$11:$E$20+E167))))/Calibracion!$C$21-Calibracion!$C$4</f>
        <v/>
      </c>
      <c r="G167" s="21">
        <f>ABS(F167)</f>
        <v/>
      </c>
    </row>
    <row r="168">
      <c r="A168" s="8">
        <f>A167+0.01</f>
        <v/>
      </c>
      <c r="B168" s="21">
        <f>SUMPRODUCT(Calibracion!$C$11:$C$20,1/(1+EXP(-(Calibracion!$E$11:$E$20+A168))))/Calibracion!$C$21-Calibracion!$C$4</f>
        <v/>
      </c>
      <c r="C168" s="21">
        <f>ABS(B168)</f>
        <v/>
      </c>
      <c r="E168" s="4">
        <f>E167+0.0001</f>
        <v/>
      </c>
      <c r="F168" s="21">
        <f>SUMPRODUCT(Calibracion!$C$11:$C$20,1/(1+EXP(-(Calibracion!$E$11:$E$20+E168))))/Calibracion!$C$21-Calibracion!$C$4</f>
        <v/>
      </c>
      <c r="G168" s="21">
        <f>ABS(F168)</f>
        <v/>
      </c>
    </row>
    <row r="169">
      <c r="A169" s="8">
        <f>A168+0.01</f>
        <v/>
      </c>
      <c r="B169" s="21">
        <f>SUMPRODUCT(Calibracion!$C$11:$C$20,1/(1+EXP(-(Calibracion!$E$11:$E$20+A169))))/Calibracion!$C$21-Calibracion!$C$4</f>
        <v/>
      </c>
      <c r="C169" s="21">
        <f>ABS(B169)</f>
        <v/>
      </c>
      <c r="E169" s="4">
        <f>E168+0.0001</f>
        <v/>
      </c>
      <c r="F169" s="21">
        <f>SUMPRODUCT(Calibracion!$C$11:$C$20,1/(1+EXP(-(Calibracion!$E$11:$E$20+E169))))/Calibracion!$C$21-Calibracion!$C$4</f>
        <v/>
      </c>
      <c r="G169" s="21">
        <f>ABS(F169)</f>
        <v/>
      </c>
    </row>
    <row r="170">
      <c r="A170" s="8">
        <f>A169+0.01</f>
        <v/>
      </c>
      <c r="B170" s="21">
        <f>SUMPRODUCT(Calibracion!$C$11:$C$20,1/(1+EXP(-(Calibracion!$E$11:$E$20+A170))))/Calibracion!$C$21-Calibracion!$C$4</f>
        <v/>
      </c>
      <c r="C170" s="21">
        <f>ABS(B170)</f>
        <v/>
      </c>
      <c r="E170" s="4">
        <f>E169+0.0001</f>
        <v/>
      </c>
      <c r="F170" s="21">
        <f>SUMPRODUCT(Calibracion!$C$11:$C$20,1/(1+EXP(-(Calibracion!$E$11:$E$20+E170))))/Calibracion!$C$21-Calibracion!$C$4</f>
        <v/>
      </c>
      <c r="G170" s="21">
        <f>ABS(F170)</f>
        <v/>
      </c>
    </row>
    <row r="171">
      <c r="A171" s="8">
        <f>A170+0.01</f>
        <v/>
      </c>
      <c r="B171" s="21">
        <f>SUMPRODUCT(Calibracion!$C$11:$C$20,1/(1+EXP(-(Calibracion!$E$11:$E$20+A171))))/Calibracion!$C$21-Calibracion!$C$4</f>
        <v/>
      </c>
      <c r="C171" s="21">
        <f>ABS(B171)</f>
        <v/>
      </c>
      <c r="E171" s="4">
        <f>E170+0.0001</f>
        <v/>
      </c>
      <c r="F171" s="21">
        <f>SUMPRODUCT(Calibracion!$C$11:$C$20,1/(1+EXP(-(Calibracion!$E$11:$E$20+E171))))/Calibracion!$C$21-Calibracion!$C$4</f>
        <v/>
      </c>
      <c r="G171" s="21">
        <f>ABS(F171)</f>
        <v/>
      </c>
    </row>
    <row r="172">
      <c r="A172" s="8">
        <f>A171+0.01</f>
        <v/>
      </c>
      <c r="B172" s="21">
        <f>SUMPRODUCT(Calibracion!$C$11:$C$20,1/(1+EXP(-(Calibracion!$E$11:$E$20+A172))))/Calibracion!$C$21-Calibracion!$C$4</f>
        <v/>
      </c>
      <c r="C172" s="21">
        <f>ABS(B172)</f>
        <v/>
      </c>
      <c r="E172" s="4">
        <f>E171+0.0001</f>
        <v/>
      </c>
      <c r="F172" s="21">
        <f>SUMPRODUCT(Calibracion!$C$11:$C$20,1/(1+EXP(-(Calibracion!$E$11:$E$20+E172))))/Calibracion!$C$21-Calibracion!$C$4</f>
        <v/>
      </c>
      <c r="G172" s="21">
        <f>ABS(F172)</f>
        <v/>
      </c>
    </row>
    <row r="173">
      <c r="A173" s="8">
        <f>A172+0.01</f>
        <v/>
      </c>
      <c r="B173" s="21">
        <f>SUMPRODUCT(Calibracion!$C$11:$C$20,1/(1+EXP(-(Calibracion!$E$11:$E$20+A173))))/Calibracion!$C$21-Calibracion!$C$4</f>
        <v/>
      </c>
      <c r="C173" s="21">
        <f>ABS(B173)</f>
        <v/>
      </c>
      <c r="E173" s="4">
        <f>E172+0.0001</f>
        <v/>
      </c>
      <c r="F173" s="21">
        <f>SUMPRODUCT(Calibracion!$C$11:$C$20,1/(1+EXP(-(Calibracion!$E$11:$E$20+E173))))/Calibracion!$C$21-Calibracion!$C$4</f>
        <v/>
      </c>
      <c r="G173" s="21">
        <f>ABS(F173)</f>
        <v/>
      </c>
    </row>
    <row r="174">
      <c r="A174" s="8">
        <f>A173+0.01</f>
        <v/>
      </c>
      <c r="B174" s="21">
        <f>SUMPRODUCT(Calibracion!$C$11:$C$20,1/(1+EXP(-(Calibracion!$E$11:$E$20+A174))))/Calibracion!$C$21-Calibracion!$C$4</f>
        <v/>
      </c>
      <c r="C174" s="21">
        <f>ABS(B174)</f>
        <v/>
      </c>
      <c r="E174" s="4">
        <f>E173+0.0001</f>
        <v/>
      </c>
      <c r="F174" s="21">
        <f>SUMPRODUCT(Calibracion!$C$11:$C$20,1/(1+EXP(-(Calibracion!$E$11:$E$20+E174))))/Calibracion!$C$21-Calibracion!$C$4</f>
        <v/>
      </c>
      <c r="G174" s="21">
        <f>ABS(F174)</f>
        <v/>
      </c>
    </row>
    <row r="175">
      <c r="A175" s="8">
        <f>A174+0.01</f>
        <v/>
      </c>
      <c r="B175" s="21">
        <f>SUMPRODUCT(Calibracion!$C$11:$C$20,1/(1+EXP(-(Calibracion!$E$11:$E$20+A175))))/Calibracion!$C$21-Calibracion!$C$4</f>
        <v/>
      </c>
      <c r="C175" s="21">
        <f>ABS(B175)</f>
        <v/>
      </c>
      <c r="E175" s="4">
        <f>E174+0.0001</f>
        <v/>
      </c>
      <c r="F175" s="21">
        <f>SUMPRODUCT(Calibracion!$C$11:$C$20,1/(1+EXP(-(Calibracion!$E$11:$E$20+E175))))/Calibracion!$C$21-Calibracion!$C$4</f>
        <v/>
      </c>
      <c r="G175" s="21">
        <f>ABS(F175)</f>
        <v/>
      </c>
    </row>
    <row r="176">
      <c r="A176" s="8">
        <f>A175+0.01</f>
        <v/>
      </c>
      <c r="B176" s="21">
        <f>SUMPRODUCT(Calibracion!$C$11:$C$20,1/(1+EXP(-(Calibracion!$E$11:$E$20+A176))))/Calibracion!$C$21-Calibracion!$C$4</f>
        <v/>
      </c>
      <c r="C176" s="21">
        <f>ABS(B176)</f>
        <v/>
      </c>
      <c r="E176" s="4">
        <f>E175+0.0001</f>
        <v/>
      </c>
      <c r="F176" s="21">
        <f>SUMPRODUCT(Calibracion!$C$11:$C$20,1/(1+EXP(-(Calibracion!$E$11:$E$20+E176))))/Calibracion!$C$21-Calibracion!$C$4</f>
        <v/>
      </c>
      <c r="G176" s="21">
        <f>ABS(F176)</f>
        <v/>
      </c>
    </row>
    <row r="177">
      <c r="A177" s="8">
        <f>A176+0.01</f>
        <v/>
      </c>
      <c r="B177" s="21">
        <f>SUMPRODUCT(Calibracion!$C$11:$C$20,1/(1+EXP(-(Calibracion!$E$11:$E$20+A177))))/Calibracion!$C$21-Calibracion!$C$4</f>
        <v/>
      </c>
      <c r="C177" s="21">
        <f>ABS(B177)</f>
        <v/>
      </c>
      <c r="E177" s="4">
        <f>E176+0.0001</f>
        <v/>
      </c>
      <c r="F177" s="21">
        <f>SUMPRODUCT(Calibracion!$C$11:$C$20,1/(1+EXP(-(Calibracion!$E$11:$E$20+E177))))/Calibracion!$C$21-Calibracion!$C$4</f>
        <v/>
      </c>
      <c r="G177" s="21">
        <f>ABS(F177)</f>
        <v/>
      </c>
    </row>
    <row r="178">
      <c r="A178" s="8">
        <f>A177+0.01</f>
        <v/>
      </c>
      <c r="B178" s="21">
        <f>SUMPRODUCT(Calibracion!$C$11:$C$20,1/(1+EXP(-(Calibracion!$E$11:$E$20+A178))))/Calibracion!$C$21-Calibracion!$C$4</f>
        <v/>
      </c>
      <c r="C178" s="21">
        <f>ABS(B178)</f>
        <v/>
      </c>
      <c r="E178" s="4">
        <f>E177+0.0001</f>
        <v/>
      </c>
      <c r="F178" s="21">
        <f>SUMPRODUCT(Calibracion!$C$11:$C$20,1/(1+EXP(-(Calibracion!$E$11:$E$20+E178))))/Calibracion!$C$21-Calibracion!$C$4</f>
        <v/>
      </c>
      <c r="G178" s="21">
        <f>ABS(F178)</f>
        <v/>
      </c>
    </row>
    <row r="179">
      <c r="A179" s="8">
        <f>A178+0.01</f>
        <v/>
      </c>
      <c r="B179" s="21">
        <f>SUMPRODUCT(Calibracion!$C$11:$C$20,1/(1+EXP(-(Calibracion!$E$11:$E$20+A179))))/Calibracion!$C$21-Calibracion!$C$4</f>
        <v/>
      </c>
      <c r="C179" s="21">
        <f>ABS(B179)</f>
        <v/>
      </c>
      <c r="E179" s="4">
        <f>E178+0.0001</f>
        <v/>
      </c>
      <c r="F179" s="21">
        <f>SUMPRODUCT(Calibracion!$C$11:$C$20,1/(1+EXP(-(Calibracion!$E$11:$E$20+E179))))/Calibracion!$C$21-Calibracion!$C$4</f>
        <v/>
      </c>
      <c r="G179" s="21">
        <f>ABS(F179)</f>
        <v/>
      </c>
    </row>
    <row r="180">
      <c r="A180" s="8">
        <f>A179+0.01</f>
        <v/>
      </c>
      <c r="B180" s="21">
        <f>SUMPRODUCT(Calibracion!$C$11:$C$20,1/(1+EXP(-(Calibracion!$E$11:$E$20+A180))))/Calibracion!$C$21-Calibracion!$C$4</f>
        <v/>
      </c>
      <c r="C180" s="21">
        <f>ABS(B180)</f>
        <v/>
      </c>
      <c r="E180" s="4">
        <f>E179+0.0001</f>
        <v/>
      </c>
      <c r="F180" s="21">
        <f>SUMPRODUCT(Calibracion!$C$11:$C$20,1/(1+EXP(-(Calibracion!$E$11:$E$20+E180))))/Calibracion!$C$21-Calibracion!$C$4</f>
        <v/>
      </c>
      <c r="G180" s="21">
        <f>ABS(F180)</f>
        <v/>
      </c>
    </row>
    <row r="181">
      <c r="A181" s="8">
        <f>A180+0.01</f>
        <v/>
      </c>
      <c r="B181" s="21">
        <f>SUMPRODUCT(Calibracion!$C$11:$C$20,1/(1+EXP(-(Calibracion!$E$11:$E$20+A181))))/Calibracion!$C$21-Calibracion!$C$4</f>
        <v/>
      </c>
      <c r="C181" s="21">
        <f>ABS(B181)</f>
        <v/>
      </c>
      <c r="E181" s="4">
        <f>E180+0.0001</f>
        <v/>
      </c>
      <c r="F181" s="21">
        <f>SUMPRODUCT(Calibracion!$C$11:$C$20,1/(1+EXP(-(Calibracion!$E$11:$E$20+E181))))/Calibracion!$C$21-Calibracion!$C$4</f>
        <v/>
      </c>
      <c r="G181" s="21">
        <f>ABS(F181)</f>
        <v/>
      </c>
    </row>
    <row r="182">
      <c r="A182" s="8">
        <f>A181+0.01</f>
        <v/>
      </c>
      <c r="B182" s="21">
        <f>SUMPRODUCT(Calibracion!$C$11:$C$20,1/(1+EXP(-(Calibracion!$E$11:$E$20+A182))))/Calibracion!$C$21-Calibracion!$C$4</f>
        <v/>
      </c>
      <c r="C182" s="21">
        <f>ABS(B182)</f>
        <v/>
      </c>
      <c r="E182" s="4">
        <f>E181+0.0001</f>
        <v/>
      </c>
      <c r="F182" s="21">
        <f>SUMPRODUCT(Calibracion!$C$11:$C$20,1/(1+EXP(-(Calibracion!$E$11:$E$20+E182))))/Calibracion!$C$21-Calibracion!$C$4</f>
        <v/>
      </c>
      <c r="G182" s="21">
        <f>ABS(F182)</f>
        <v/>
      </c>
    </row>
    <row r="183">
      <c r="A183" s="8">
        <f>A182+0.01</f>
        <v/>
      </c>
      <c r="B183" s="21">
        <f>SUMPRODUCT(Calibracion!$C$11:$C$20,1/(1+EXP(-(Calibracion!$E$11:$E$20+A183))))/Calibracion!$C$21-Calibracion!$C$4</f>
        <v/>
      </c>
      <c r="C183" s="21">
        <f>ABS(B183)</f>
        <v/>
      </c>
      <c r="E183" s="4">
        <f>E182+0.0001</f>
        <v/>
      </c>
      <c r="F183" s="21">
        <f>SUMPRODUCT(Calibracion!$C$11:$C$20,1/(1+EXP(-(Calibracion!$E$11:$E$20+E183))))/Calibracion!$C$21-Calibracion!$C$4</f>
        <v/>
      </c>
      <c r="G183" s="21">
        <f>ABS(F183)</f>
        <v/>
      </c>
    </row>
    <row r="184">
      <c r="A184" s="8">
        <f>A183+0.01</f>
        <v/>
      </c>
      <c r="B184" s="21">
        <f>SUMPRODUCT(Calibracion!$C$11:$C$20,1/(1+EXP(-(Calibracion!$E$11:$E$20+A184))))/Calibracion!$C$21-Calibracion!$C$4</f>
        <v/>
      </c>
      <c r="C184" s="21">
        <f>ABS(B184)</f>
        <v/>
      </c>
      <c r="E184" s="4">
        <f>E183+0.0001</f>
        <v/>
      </c>
      <c r="F184" s="21">
        <f>SUMPRODUCT(Calibracion!$C$11:$C$20,1/(1+EXP(-(Calibracion!$E$11:$E$20+E184))))/Calibracion!$C$21-Calibracion!$C$4</f>
        <v/>
      </c>
      <c r="G184" s="21">
        <f>ABS(F184)</f>
        <v/>
      </c>
    </row>
    <row r="185">
      <c r="A185" s="8">
        <f>A184+0.01</f>
        <v/>
      </c>
      <c r="B185" s="21">
        <f>SUMPRODUCT(Calibracion!$C$11:$C$20,1/(1+EXP(-(Calibracion!$E$11:$E$20+A185))))/Calibracion!$C$21-Calibracion!$C$4</f>
        <v/>
      </c>
      <c r="C185" s="21">
        <f>ABS(B185)</f>
        <v/>
      </c>
      <c r="E185" s="4">
        <f>E184+0.0001</f>
        <v/>
      </c>
      <c r="F185" s="21">
        <f>SUMPRODUCT(Calibracion!$C$11:$C$20,1/(1+EXP(-(Calibracion!$E$11:$E$20+E185))))/Calibracion!$C$21-Calibracion!$C$4</f>
        <v/>
      </c>
      <c r="G185" s="21">
        <f>ABS(F185)</f>
        <v/>
      </c>
    </row>
    <row r="186">
      <c r="A186" s="8">
        <f>A185+0.01</f>
        <v/>
      </c>
      <c r="B186" s="21">
        <f>SUMPRODUCT(Calibracion!$C$11:$C$20,1/(1+EXP(-(Calibracion!$E$11:$E$20+A186))))/Calibracion!$C$21-Calibracion!$C$4</f>
        <v/>
      </c>
      <c r="C186" s="21">
        <f>ABS(B186)</f>
        <v/>
      </c>
      <c r="E186" s="4">
        <f>E185+0.0001</f>
        <v/>
      </c>
      <c r="F186" s="21">
        <f>SUMPRODUCT(Calibracion!$C$11:$C$20,1/(1+EXP(-(Calibracion!$E$11:$E$20+E186))))/Calibracion!$C$21-Calibracion!$C$4</f>
        <v/>
      </c>
      <c r="G186" s="21">
        <f>ABS(F186)</f>
        <v/>
      </c>
    </row>
    <row r="187">
      <c r="A187" s="8">
        <f>A186+0.01</f>
        <v/>
      </c>
      <c r="B187" s="21">
        <f>SUMPRODUCT(Calibracion!$C$11:$C$20,1/(1+EXP(-(Calibracion!$E$11:$E$20+A187))))/Calibracion!$C$21-Calibracion!$C$4</f>
        <v/>
      </c>
      <c r="C187" s="21">
        <f>ABS(B187)</f>
        <v/>
      </c>
      <c r="E187" s="4">
        <f>E186+0.0001</f>
        <v/>
      </c>
      <c r="F187" s="21">
        <f>SUMPRODUCT(Calibracion!$C$11:$C$20,1/(1+EXP(-(Calibracion!$E$11:$E$20+E187))))/Calibracion!$C$21-Calibracion!$C$4</f>
        <v/>
      </c>
      <c r="G187" s="21">
        <f>ABS(F187)</f>
        <v/>
      </c>
    </row>
    <row r="188">
      <c r="A188" s="8">
        <f>A187+0.01</f>
        <v/>
      </c>
      <c r="B188" s="21">
        <f>SUMPRODUCT(Calibracion!$C$11:$C$20,1/(1+EXP(-(Calibracion!$E$11:$E$20+A188))))/Calibracion!$C$21-Calibracion!$C$4</f>
        <v/>
      </c>
      <c r="C188" s="21">
        <f>ABS(B188)</f>
        <v/>
      </c>
      <c r="E188" s="4">
        <f>E187+0.0001</f>
        <v/>
      </c>
      <c r="F188" s="21">
        <f>SUMPRODUCT(Calibracion!$C$11:$C$20,1/(1+EXP(-(Calibracion!$E$11:$E$20+E188))))/Calibracion!$C$21-Calibracion!$C$4</f>
        <v/>
      </c>
      <c r="G188" s="21">
        <f>ABS(F188)</f>
        <v/>
      </c>
    </row>
    <row r="189">
      <c r="A189" s="8">
        <f>A188+0.01</f>
        <v/>
      </c>
      <c r="B189" s="21">
        <f>SUMPRODUCT(Calibracion!$C$11:$C$20,1/(1+EXP(-(Calibracion!$E$11:$E$20+A189))))/Calibracion!$C$21-Calibracion!$C$4</f>
        <v/>
      </c>
      <c r="C189" s="21">
        <f>ABS(B189)</f>
        <v/>
      </c>
      <c r="E189" s="4">
        <f>E188+0.0001</f>
        <v/>
      </c>
      <c r="F189" s="21">
        <f>SUMPRODUCT(Calibracion!$C$11:$C$20,1/(1+EXP(-(Calibracion!$E$11:$E$20+E189))))/Calibracion!$C$21-Calibracion!$C$4</f>
        <v/>
      </c>
      <c r="G189" s="21">
        <f>ABS(F189)</f>
        <v/>
      </c>
    </row>
    <row r="190">
      <c r="A190" s="8">
        <f>A189+0.01</f>
        <v/>
      </c>
      <c r="B190" s="21">
        <f>SUMPRODUCT(Calibracion!$C$11:$C$20,1/(1+EXP(-(Calibracion!$E$11:$E$20+A190))))/Calibracion!$C$21-Calibracion!$C$4</f>
        <v/>
      </c>
      <c r="C190" s="21">
        <f>ABS(B190)</f>
        <v/>
      </c>
      <c r="E190" s="4">
        <f>E189+0.0001</f>
        <v/>
      </c>
      <c r="F190" s="21">
        <f>SUMPRODUCT(Calibracion!$C$11:$C$20,1/(1+EXP(-(Calibracion!$E$11:$E$20+E190))))/Calibracion!$C$21-Calibracion!$C$4</f>
        <v/>
      </c>
      <c r="G190" s="21">
        <f>ABS(F190)</f>
        <v/>
      </c>
    </row>
    <row r="191">
      <c r="A191" s="8">
        <f>A190+0.01</f>
        <v/>
      </c>
      <c r="B191" s="21">
        <f>SUMPRODUCT(Calibracion!$C$11:$C$20,1/(1+EXP(-(Calibracion!$E$11:$E$20+A191))))/Calibracion!$C$21-Calibracion!$C$4</f>
        <v/>
      </c>
      <c r="C191" s="21">
        <f>ABS(B191)</f>
        <v/>
      </c>
      <c r="E191" s="4">
        <f>E190+0.0001</f>
        <v/>
      </c>
      <c r="F191" s="21">
        <f>SUMPRODUCT(Calibracion!$C$11:$C$20,1/(1+EXP(-(Calibracion!$E$11:$E$20+E191))))/Calibracion!$C$21-Calibracion!$C$4</f>
        <v/>
      </c>
      <c r="G191" s="21">
        <f>ABS(F191)</f>
        <v/>
      </c>
    </row>
    <row r="192">
      <c r="A192" s="8">
        <f>A191+0.01</f>
        <v/>
      </c>
      <c r="B192" s="21">
        <f>SUMPRODUCT(Calibracion!$C$11:$C$20,1/(1+EXP(-(Calibracion!$E$11:$E$20+A192))))/Calibracion!$C$21-Calibracion!$C$4</f>
        <v/>
      </c>
      <c r="C192" s="21">
        <f>ABS(B192)</f>
        <v/>
      </c>
      <c r="E192" s="4">
        <f>E191+0.0001</f>
        <v/>
      </c>
      <c r="F192" s="21">
        <f>SUMPRODUCT(Calibracion!$C$11:$C$20,1/(1+EXP(-(Calibracion!$E$11:$E$20+E192))))/Calibracion!$C$21-Calibracion!$C$4</f>
        <v/>
      </c>
      <c r="G192" s="21">
        <f>ABS(F192)</f>
        <v/>
      </c>
    </row>
    <row r="193">
      <c r="A193" s="8">
        <f>A192+0.01</f>
        <v/>
      </c>
      <c r="B193" s="21">
        <f>SUMPRODUCT(Calibracion!$C$11:$C$20,1/(1+EXP(-(Calibracion!$E$11:$E$20+A193))))/Calibracion!$C$21-Calibracion!$C$4</f>
        <v/>
      </c>
      <c r="C193" s="21">
        <f>ABS(B193)</f>
        <v/>
      </c>
      <c r="E193" s="4">
        <f>E192+0.0001</f>
        <v/>
      </c>
      <c r="F193" s="21">
        <f>SUMPRODUCT(Calibracion!$C$11:$C$20,1/(1+EXP(-(Calibracion!$E$11:$E$20+E193))))/Calibracion!$C$21-Calibracion!$C$4</f>
        <v/>
      </c>
      <c r="G193" s="21">
        <f>ABS(F193)</f>
        <v/>
      </c>
    </row>
    <row r="194">
      <c r="A194" s="8">
        <f>A193+0.01</f>
        <v/>
      </c>
      <c r="B194" s="21">
        <f>SUMPRODUCT(Calibracion!$C$11:$C$20,1/(1+EXP(-(Calibracion!$E$11:$E$20+A194))))/Calibracion!$C$21-Calibracion!$C$4</f>
        <v/>
      </c>
      <c r="C194" s="21">
        <f>ABS(B194)</f>
        <v/>
      </c>
      <c r="E194" s="4">
        <f>E193+0.0001</f>
        <v/>
      </c>
      <c r="F194" s="21">
        <f>SUMPRODUCT(Calibracion!$C$11:$C$20,1/(1+EXP(-(Calibracion!$E$11:$E$20+E194))))/Calibracion!$C$21-Calibracion!$C$4</f>
        <v/>
      </c>
      <c r="G194" s="21">
        <f>ABS(F194)</f>
        <v/>
      </c>
    </row>
    <row r="195">
      <c r="A195" s="8">
        <f>A194+0.01</f>
        <v/>
      </c>
      <c r="B195" s="21">
        <f>SUMPRODUCT(Calibracion!$C$11:$C$20,1/(1+EXP(-(Calibracion!$E$11:$E$20+A195))))/Calibracion!$C$21-Calibracion!$C$4</f>
        <v/>
      </c>
      <c r="C195" s="21">
        <f>ABS(B195)</f>
        <v/>
      </c>
      <c r="E195" s="4">
        <f>E194+0.0001</f>
        <v/>
      </c>
      <c r="F195" s="21">
        <f>SUMPRODUCT(Calibracion!$C$11:$C$20,1/(1+EXP(-(Calibracion!$E$11:$E$20+E195))))/Calibracion!$C$21-Calibracion!$C$4</f>
        <v/>
      </c>
      <c r="G195" s="21">
        <f>ABS(F195)</f>
        <v/>
      </c>
    </row>
    <row r="196">
      <c r="A196" s="8">
        <f>A195+0.01</f>
        <v/>
      </c>
      <c r="B196" s="21">
        <f>SUMPRODUCT(Calibracion!$C$11:$C$20,1/(1+EXP(-(Calibracion!$E$11:$E$20+A196))))/Calibracion!$C$21-Calibracion!$C$4</f>
        <v/>
      </c>
      <c r="C196" s="21">
        <f>ABS(B196)</f>
        <v/>
      </c>
      <c r="E196" s="4">
        <f>E195+0.0001</f>
        <v/>
      </c>
      <c r="F196" s="21">
        <f>SUMPRODUCT(Calibracion!$C$11:$C$20,1/(1+EXP(-(Calibracion!$E$11:$E$20+E196))))/Calibracion!$C$21-Calibracion!$C$4</f>
        <v/>
      </c>
      <c r="G196" s="21">
        <f>ABS(F196)</f>
        <v/>
      </c>
    </row>
    <row r="197">
      <c r="A197" s="8">
        <f>A196+0.01</f>
        <v/>
      </c>
      <c r="B197" s="21">
        <f>SUMPRODUCT(Calibracion!$C$11:$C$20,1/(1+EXP(-(Calibracion!$E$11:$E$20+A197))))/Calibracion!$C$21-Calibracion!$C$4</f>
        <v/>
      </c>
      <c r="C197" s="21">
        <f>ABS(B197)</f>
        <v/>
      </c>
      <c r="E197" s="4">
        <f>E196+0.0001</f>
        <v/>
      </c>
      <c r="F197" s="21">
        <f>SUMPRODUCT(Calibracion!$C$11:$C$20,1/(1+EXP(-(Calibracion!$E$11:$E$20+E197))))/Calibracion!$C$21-Calibracion!$C$4</f>
        <v/>
      </c>
      <c r="G197" s="21">
        <f>ABS(F197)</f>
        <v/>
      </c>
    </row>
    <row r="198">
      <c r="A198" s="8">
        <f>A197+0.01</f>
        <v/>
      </c>
      <c r="B198" s="21">
        <f>SUMPRODUCT(Calibracion!$C$11:$C$20,1/(1+EXP(-(Calibracion!$E$11:$E$20+A198))))/Calibracion!$C$21-Calibracion!$C$4</f>
        <v/>
      </c>
      <c r="C198" s="21">
        <f>ABS(B198)</f>
        <v/>
      </c>
      <c r="E198" s="4">
        <f>E197+0.0001</f>
        <v/>
      </c>
      <c r="F198" s="21">
        <f>SUMPRODUCT(Calibracion!$C$11:$C$20,1/(1+EXP(-(Calibracion!$E$11:$E$20+E198))))/Calibracion!$C$21-Calibracion!$C$4</f>
        <v/>
      </c>
      <c r="G198" s="21">
        <f>ABS(F198)</f>
        <v/>
      </c>
    </row>
    <row r="199">
      <c r="A199" s="8">
        <f>A198+0.01</f>
        <v/>
      </c>
      <c r="B199" s="21">
        <f>SUMPRODUCT(Calibracion!$C$11:$C$20,1/(1+EXP(-(Calibracion!$E$11:$E$20+A199))))/Calibracion!$C$21-Calibracion!$C$4</f>
        <v/>
      </c>
      <c r="C199" s="21">
        <f>ABS(B199)</f>
        <v/>
      </c>
      <c r="E199" s="4">
        <f>E198+0.0001</f>
        <v/>
      </c>
      <c r="F199" s="21">
        <f>SUMPRODUCT(Calibracion!$C$11:$C$20,1/(1+EXP(-(Calibracion!$E$11:$E$20+E199))))/Calibracion!$C$21-Calibracion!$C$4</f>
        <v/>
      </c>
      <c r="G199" s="21">
        <f>ABS(F199)</f>
        <v/>
      </c>
    </row>
    <row r="200">
      <c r="A200" s="8">
        <f>A199+0.01</f>
        <v/>
      </c>
      <c r="B200" s="21">
        <f>SUMPRODUCT(Calibracion!$C$11:$C$20,1/(1+EXP(-(Calibracion!$E$11:$E$20+A200))))/Calibracion!$C$21-Calibracion!$C$4</f>
        <v/>
      </c>
      <c r="C200" s="21">
        <f>ABS(B200)</f>
        <v/>
      </c>
      <c r="E200" s="4">
        <f>E199+0.0001</f>
        <v/>
      </c>
      <c r="F200" s="21">
        <f>SUMPRODUCT(Calibracion!$C$11:$C$20,1/(1+EXP(-(Calibracion!$E$11:$E$20+E200))))/Calibracion!$C$21-Calibracion!$C$4</f>
        <v/>
      </c>
      <c r="G200" s="21">
        <f>ABS(F200)</f>
        <v/>
      </c>
    </row>
    <row r="201">
      <c r="A201" s="8">
        <f>A200+0.01</f>
        <v/>
      </c>
      <c r="B201" s="21">
        <f>SUMPRODUCT(Calibracion!$C$11:$C$20,1/(1+EXP(-(Calibracion!$E$11:$E$20+A201))))/Calibracion!$C$21-Calibracion!$C$4</f>
        <v/>
      </c>
      <c r="C201" s="21">
        <f>ABS(B201)</f>
        <v/>
      </c>
      <c r="E201" s="4">
        <f>E200+0.0001</f>
        <v/>
      </c>
      <c r="F201" s="21">
        <f>SUMPRODUCT(Calibracion!$C$11:$C$20,1/(1+EXP(-(Calibracion!$E$11:$E$20+E201))))/Calibracion!$C$21-Calibracion!$C$4</f>
        <v/>
      </c>
      <c r="G201" s="21">
        <f>ABS(F201)</f>
        <v/>
      </c>
    </row>
    <row r="202">
      <c r="A202" s="8">
        <f>A201+0.01</f>
        <v/>
      </c>
      <c r="B202" s="21">
        <f>SUMPRODUCT(Calibracion!$C$11:$C$20,1/(1+EXP(-(Calibracion!$E$11:$E$20+A202))))/Calibracion!$C$21-Calibracion!$C$4</f>
        <v/>
      </c>
      <c r="C202" s="21">
        <f>ABS(B202)</f>
        <v/>
      </c>
      <c r="E202" s="4">
        <f>E201+0.0001</f>
        <v/>
      </c>
      <c r="F202" s="21">
        <f>SUMPRODUCT(Calibracion!$C$11:$C$20,1/(1+EXP(-(Calibracion!$E$11:$E$20+E202))))/Calibracion!$C$21-Calibracion!$C$4</f>
        <v/>
      </c>
      <c r="G202" s="21">
        <f>ABS(F202)</f>
        <v/>
      </c>
    </row>
    <row r="203">
      <c r="A203" s="8">
        <f>A202+0.01</f>
        <v/>
      </c>
      <c r="B203" s="21">
        <f>SUMPRODUCT(Calibracion!$C$11:$C$20,1/(1+EXP(-(Calibracion!$E$11:$E$20+A203))))/Calibracion!$C$21-Calibracion!$C$4</f>
        <v/>
      </c>
      <c r="C203" s="21">
        <f>ABS(B203)</f>
        <v/>
      </c>
      <c r="E203" s="4">
        <f>E202+0.0001</f>
        <v/>
      </c>
      <c r="F203" s="21">
        <f>SUMPRODUCT(Calibracion!$C$11:$C$20,1/(1+EXP(-(Calibracion!$E$11:$E$20+E203))))/Calibracion!$C$21-Calibracion!$C$4</f>
        <v/>
      </c>
      <c r="G203" s="21">
        <f>ABS(F203)</f>
        <v/>
      </c>
    </row>
    <row r="204">
      <c r="A204" s="8">
        <f>A203+0.01</f>
        <v/>
      </c>
      <c r="B204" s="21">
        <f>SUMPRODUCT(Calibracion!$C$11:$C$20,1/(1+EXP(-(Calibracion!$E$11:$E$20+A204))))/Calibracion!$C$21-Calibracion!$C$4</f>
        <v/>
      </c>
      <c r="C204" s="21">
        <f>ABS(B204)</f>
        <v/>
      </c>
      <c r="E204" s="4">
        <f>E203+0.0001</f>
        <v/>
      </c>
      <c r="F204" s="21">
        <f>SUMPRODUCT(Calibracion!$C$11:$C$20,1/(1+EXP(-(Calibracion!$E$11:$E$20+E204))))/Calibracion!$C$21-Calibracion!$C$4</f>
        <v/>
      </c>
      <c r="G204" s="21">
        <f>ABS(F204)</f>
        <v/>
      </c>
    </row>
    <row r="205">
      <c r="A205" s="8">
        <f>A204+0.01</f>
        <v/>
      </c>
      <c r="B205" s="21">
        <f>SUMPRODUCT(Calibracion!$C$11:$C$20,1/(1+EXP(-(Calibracion!$E$11:$E$20+A205))))/Calibracion!$C$21-Calibracion!$C$4</f>
        <v/>
      </c>
      <c r="C205" s="21">
        <f>ABS(B205)</f>
        <v/>
      </c>
    </row>
    <row r="206">
      <c r="A206" s="8">
        <f>A205+0.01</f>
        <v/>
      </c>
      <c r="B206" s="21">
        <f>SUMPRODUCT(Calibracion!$C$11:$C$20,1/(1+EXP(-(Calibracion!$E$11:$E$20+A206))))/Calibracion!$C$21-Calibracion!$C$4</f>
        <v/>
      </c>
      <c r="C206" s="21">
        <f>ABS(B206)</f>
        <v/>
      </c>
    </row>
    <row r="207">
      <c r="A207" s="8">
        <f>A206+0.01</f>
        <v/>
      </c>
      <c r="B207" s="21">
        <f>SUMPRODUCT(Calibracion!$C$11:$C$20,1/(1+EXP(-(Calibracion!$E$11:$E$20+A207))))/Calibracion!$C$21-Calibracion!$C$4</f>
        <v/>
      </c>
      <c r="C207" s="21">
        <f>ABS(B207)</f>
        <v/>
      </c>
    </row>
    <row r="208">
      <c r="A208" s="8">
        <f>A207+0.01</f>
        <v/>
      </c>
      <c r="B208" s="21">
        <f>SUMPRODUCT(Calibracion!$C$11:$C$20,1/(1+EXP(-(Calibracion!$E$11:$E$20+A208))))/Calibracion!$C$21-Calibracion!$C$4</f>
        <v/>
      </c>
      <c r="C208" s="21">
        <f>ABS(B208)</f>
        <v/>
      </c>
    </row>
    <row r="209">
      <c r="A209" s="8">
        <f>A208+0.01</f>
        <v/>
      </c>
      <c r="B209" s="21">
        <f>SUMPRODUCT(Calibracion!$C$11:$C$20,1/(1+EXP(-(Calibracion!$E$11:$E$20+A209))))/Calibracion!$C$21-Calibracion!$C$4</f>
        <v/>
      </c>
      <c r="C209" s="21">
        <f>ABS(B209)</f>
        <v/>
      </c>
    </row>
    <row r="210">
      <c r="A210" s="8">
        <f>A209+0.01</f>
        <v/>
      </c>
      <c r="B210" s="21">
        <f>SUMPRODUCT(Calibracion!$C$11:$C$20,1/(1+EXP(-(Calibracion!$E$11:$E$20+A210))))/Calibracion!$C$21-Calibracion!$C$4</f>
        <v/>
      </c>
      <c r="C210" s="21">
        <f>ABS(B210)</f>
        <v/>
      </c>
    </row>
    <row r="211">
      <c r="A211" s="8">
        <f>A210+0.01</f>
        <v/>
      </c>
      <c r="B211" s="21">
        <f>SUMPRODUCT(Calibracion!$C$11:$C$20,1/(1+EXP(-(Calibracion!$E$11:$E$20+A211))))/Calibracion!$C$21-Calibracion!$C$4</f>
        <v/>
      </c>
      <c r="C211" s="21">
        <f>ABS(B211)</f>
        <v/>
      </c>
    </row>
    <row r="212">
      <c r="A212" s="8">
        <f>A211+0.01</f>
        <v/>
      </c>
      <c r="B212" s="21">
        <f>SUMPRODUCT(Calibracion!$C$11:$C$20,1/(1+EXP(-(Calibracion!$E$11:$E$20+A212))))/Calibracion!$C$21-Calibracion!$C$4</f>
        <v/>
      </c>
      <c r="C212" s="21">
        <f>ABS(B212)</f>
        <v/>
      </c>
    </row>
    <row r="213">
      <c r="A213" s="8">
        <f>A212+0.01</f>
        <v/>
      </c>
      <c r="B213" s="21">
        <f>SUMPRODUCT(Calibracion!$C$11:$C$20,1/(1+EXP(-(Calibracion!$E$11:$E$20+A213))))/Calibracion!$C$21-Calibracion!$C$4</f>
        <v/>
      </c>
      <c r="C213" s="21">
        <f>ABS(B213)</f>
        <v/>
      </c>
    </row>
    <row r="214">
      <c r="A214" s="8">
        <f>A213+0.01</f>
        <v/>
      </c>
      <c r="B214" s="21">
        <f>SUMPRODUCT(Calibracion!$C$11:$C$20,1/(1+EXP(-(Calibracion!$E$11:$E$20+A214))))/Calibracion!$C$21-Calibracion!$C$4</f>
        <v/>
      </c>
      <c r="C214" s="21">
        <f>ABS(B214)</f>
        <v/>
      </c>
    </row>
    <row r="215">
      <c r="A215" s="8">
        <f>A214+0.01</f>
        <v/>
      </c>
      <c r="B215" s="21">
        <f>SUMPRODUCT(Calibracion!$C$11:$C$20,1/(1+EXP(-(Calibracion!$E$11:$E$20+A215))))/Calibracion!$C$21-Calibracion!$C$4</f>
        <v/>
      </c>
      <c r="C215" s="21">
        <f>ABS(B215)</f>
        <v/>
      </c>
    </row>
    <row r="216">
      <c r="A216" s="8">
        <f>A215+0.01</f>
        <v/>
      </c>
      <c r="B216" s="21">
        <f>SUMPRODUCT(Calibracion!$C$11:$C$20,1/(1+EXP(-(Calibracion!$E$11:$E$20+A216))))/Calibracion!$C$21-Calibracion!$C$4</f>
        <v/>
      </c>
      <c r="C216" s="21">
        <f>ABS(B216)</f>
        <v/>
      </c>
    </row>
    <row r="217">
      <c r="A217" s="8">
        <f>A216+0.01</f>
        <v/>
      </c>
      <c r="B217" s="21">
        <f>SUMPRODUCT(Calibracion!$C$11:$C$20,1/(1+EXP(-(Calibracion!$E$11:$E$20+A217))))/Calibracion!$C$21-Calibracion!$C$4</f>
        <v/>
      </c>
      <c r="C217" s="21">
        <f>ABS(B217)</f>
        <v/>
      </c>
    </row>
    <row r="218">
      <c r="A218" s="8">
        <f>A217+0.01</f>
        <v/>
      </c>
      <c r="B218" s="21">
        <f>SUMPRODUCT(Calibracion!$C$11:$C$20,1/(1+EXP(-(Calibracion!$E$11:$E$20+A218))))/Calibracion!$C$21-Calibracion!$C$4</f>
        <v/>
      </c>
      <c r="C218" s="21">
        <f>ABS(B218)</f>
        <v/>
      </c>
    </row>
    <row r="219">
      <c r="A219" s="8">
        <f>A218+0.01</f>
        <v/>
      </c>
      <c r="B219" s="21">
        <f>SUMPRODUCT(Calibracion!$C$11:$C$20,1/(1+EXP(-(Calibracion!$E$11:$E$20+A219))))/Calibracion!$C$21-Calibracion!$C$4</f>
        <v/>
      </c>
      <c r="C219" s="21">
        <f>ABS(B219)</f>
        <v/>
      </c>
    </row>
    <row r="220">
      <c r="A220" s="8">
        <f>A219+0.01</f>
        <v/>
      </c>
      <c r="B220" s="21">
        <f>SUMPRODUCT(Calibracion!$C$11:$C$20,1/(1+EXP(-(Calibracion!$E$11:$E$20+A220))))/Calibracion!$C$21-Calibracion!$C$4</f>
        <v/>
      </c>
      <c r="C220" s="21">
        <f>ABS(B220)</f>
        <v/>
      </c>
    </row>
    <row r="221">
      <c r="A221" s="8">
        <f>A220+0.01</f>
        <v/>
      </c>
      <c r="B221" s="21">
        <f>SUMPRODUCT(Calibracion!$C$11:$C$20,1/(1+EXP(-(Calibracion!$E$11:$E$20+A221))))/Calibracion!$C$21-Calibracion!$C$4</f>
        <v/>
      </c>
      <c r="C221" s="21">
        <f>ABS(B221)</f>
        <v/>
      </c>
    </row>
    <row r="222">
      <c r="A222" s="8">
        <f>A221+0.01</f>
        <v/>
      </c>
      <c r="B222" s="21">
        <f>SUMPRODUCT(Calibracion!$C$11:$C$20,1/(1+EXP(-(Calibracion!$E$11:$E$20+A222))))/Calibracion!$C$21-Calibracion!$C$4</f>
        <v/>
      </c>
      <c r="C222" s="21">
        <f>ABS(B222)</f>
        <v/>
      </c>
    </row>
    <row r="223">
      <c r="A223" s="8">
        <f>A222+0.01</f>
        <v/>
      </c>
      <c r="B223" s="21">
        <f>SUMPRODUCT(Calibracion!$C$11:$C$20,1/(1+EXP(-(Calibracion!$E$11:$E$20+A223))))/Calibracion!$C$21-Calibracion!$C$4</f>
        <v/>
      </c>
      <c r="C223" s="21">
        <f>ABS(B223)</f>
        <v/>
      </c>
    </row>
    <row r="224">
      <c r="A224" s="8">
        <f>A223+0.01</f>
        <v/>
      </c>
      <c r="B224" s="21">
        <f>SUMPRODUCT(Calibracion!$C$11:$C$20,1/(1+EXP(-(Calibracion!$E$11:$E$20+A224))))/Calibracion!$C$21-Calibracion!$C$4</f>
        <v/>
      </c>
      <c r="C224" s="21">
        <f>ABS(B224)</f>
        <v/>
      </c>
    </row>
    <row r="225">
      <c r="A225" s="8">
        <f>A224+0.01</f>
        <v/>
      </c>
      <c r="B225" s="21">
        <f>SUMPRODUCT(Calibracion!$C$11:$C$20,1/(1+EXP(-(Calibracion!$E$11:$E$20+A225))))/Calibracion!$C$21-Calibracion!$C$4</f>
        <v/>
      </c>
      <c r="C225" s="21">
        <f>ABS(B225)</f>
        <v/>
      </c>
    </row>
    <row r="226">
      <c r="A226" s="8">
        <f>A225+0.01</f>
        <v/>
      </c>
      <c r="B226" s="21">
        <f>SUMPRODUCT(Calibracion!$C$11:$C$20,1/(1+EXP(-(Calibracion!$E$11:$E$20+A226))))/Calibracion!$C$21-Calibracion!$C$4</f>
        <v/>
      </c>
      <c r="C226" s="21">
        <f>ABS(B226)</f>
        <v/>
      </c>
    </row>
    <row r="227">
      <c r="A227" s="8">
        <f>A226+0.01</f>
        <v/>
      </c>
      <c r="B227" s="21">
        <f>SUMPRODUCT(Calibracion!$C$11:$C$20,1/(1+EXP(-(Calibracion!$E$11:$E$20+A227))))/Calibracion!$C$21-Calibracion!$C$4</f>
        <v/>
      </c>
      <c r="C227" s="21">
        <f>ABS(B227)</f>
        <v/>
      </c>
    </row>
    <row r="228">
      <c r="A228" s="8">
        <f>A227+0.01</f>
        <v/>
      </c>
      <c r="B228" s="21">
        <f>SUMPRODUCT(Calibracion!$C$11:$C$20,1/(1+EXP(-(Calibracion!$E$11:$E$20+A228))))/Calibracion!$C$21-Calibracion!$C$4</f>
        <v/>
      </c>
      <c r="C228" s="21">
        <f>ABS(B228)</f>
        <v/>
      </c>
    </row>
    <row r="229">
      <c r="A229" s="8">
        <f>A228+0.01</f>
        <v/>
      </c>
      <c r="B229" s="21">
        <f>SUMPRODUCT(Calibracion!$C$11:$C$20,1/(1+EXP(-(Calibracion!$E$11:$E$20+A229))))/Calibracion!$C$21-Calibracion!$C$4</f>
        <v/>
      </c>
      <c r="C229" s="21">
        <f>ABS(B229)</f>
        <v/>
      </c>
    </row>
    <row r="230">
      <c r="A230" s="8">
        <f>A229+0.01</f>
        <v/>
      </c>
      <c r="B230" s="21">
        <f>SUMPRODUCT(Calibracion!$C$11:$C$20,1/(1+EXP(-(Calibracion!$E$11:$E$20+A230))))/Calibracion!$C$21-Calibracion!$C$4</f>
        <v/>
      </c>
      <c r="C230" s="21">
        <f>ABS(B230)</f>
        <v/>
      </c>
    </row>
    <row r="231">
      <c r="A231" s="8">
        <f>A230+0.01</f>
        <v/>
      </c>
      <c r="B231" s="21">
        <f>SUMPRODUCT(Calibracion!$C$11:$C$20,1/(1+EXP(-(Calibracion!$E$11:$E$20+A231))))/Calibracion!$C$21-Calibracion!$C$4</f>
        <v/>
      </c>
      <c r="C231" s="21">
        <f>ABS(B231)</f>
        <v/>
      </c>
    </row>
    <row r="232">
      <c r="A232" s="8">
        <f>A231+0.01</f>
        <v/>
      </c>
      <c r="B232" s="21">
        <f>SUMPRODUCT(Calibracion!$C$11:$C$20,1/(1+EXP(-(Calibracion!$E$11:$E$20+A232))))/Calibracion!$C$21-Calibracion!$C$4</f>
        <v/>
      </c>
      <c r="C232" s="21">
        <f>ABS(B232)</f>
        <v/>
      </c>
    </row>
    <row r="233">
      <c r="A233" s="8">
        <f>A232+0.01</f>
        <v/>
      </c>
      <c r="B233" s="21">
        <f>SUMPRODUCT(Calibracion!$C$11:$C$20,1/(1+EXP(-(Calibracion!$E$11:$E$20+A233))))/Calibracion!$C$21-Calibracion!$C$4</f>
        <v/>
      </c>
      <c r="C233" s="21">
        <f>ABS(B233)</f>
        <v/>
      </c>
    </row>
    <row r="234">
      <c r="A234" s="8">
        <f>A233+0.01</f>
        <v/>
      </c>
      <c r="B234" s="21">
        <f>SUMPRODUCT(Calibracion!$C$11:$C$20,1/(1+EXP(-(Calibracion!$E$11:$E$20+A234))))/Calibracion!$C$21-Calibracion!$C$4</f>
        <v/>
      </c>
      <c r="C234" s="21">
        <f>ABS(B234)</f>
        <v/>
      </c>
    </row>
    <row r="235">
      <c r="A235" s="8">
        <f>A234+0.01</f>
        <v/>
      </c>
      <c r="B235" s="21">
        <f>SUMPRODUCT(Calibracion!$C$11:$C$20,1/(1+EXP(-(Calibracion!$E$11:$E$20+A235))))/Calibracion!$C$21-Calibracion!$C$4</f>
        <v/>
      </c>
      <c r="C235" s="21">
        <f>ABS(B235)</f>
        <v/>
      </c>
    </row>
    <row r="236">
      <c r="A236" s="8">
        <f>A235+0.01</f>
        <v/>
      </c>
      <c r="B236" s="21">
        <f>SUMPRODUCT(Calibracion!$C$11:$C$20,1/(1+EXP(-(Calibracion!$E$11:$E$20+A236))))/Calibracion!$C$21-Calibracion!$C$4</f>
        <v/>
      </c>
      <c r="C236" s="21">
        <f>ABS(B236)</f>
        <v/>
      </c>
    </row>
    <row r="237">
      <c r="A237" s="8">
        <f>A236+0.01</f>
        <v/>
      </c>
      <c r="B237" s="21">
        <f>SUMPRODUCT(Calibracion!$C$11:$C$20,1/(1+EXP(-(Calibracion!$E$11:$E$20+A237))))/Calibracion!$C$21-Calibracion!$C$4</f>
        <v/>
      </c>
      <c r="C237" s="21">
        <f>ABS(B237)</f>
        <v/>
      </c>
    </row>
    <row r="238">
      <c r="A238" s="8">
        <f>A237+0.01</f>
        <v/>
      </c>
      <c r="B238" s="21">
        <f>SUMPRODUCT(Calibracion!$C$11:$C$20,1/(1+EXP(-(Calibracion!$E$11:$E$20+A238))))/Calibracion!$C$21-Calibracion!$C$4</f>
        <v/>
      </c>
      <c r="C238" s="21">
        <f>ABS(B238)</f>
        <v/>
      </c>
    </row>
    <row r="239">
      <c r="A239" s="8">
        <f>A238+0.01</f>
        <v/>
      </c>
      <c r="B239" s="21">
        <f>SUMPRODUCT(Calibracion!$C$11:$C$20,1/(1+EXP(-(Calibracion!$E$11:$E$20+A239))))/Calibracion!$C$21-Calibracion!$C$4</f>
        <v/>
      </c>
      <c r="C239" s="21">
        <f>ABS(B239)</f>
        <v/>
      </c>
    </row>
    <row r="240">
      <c r="A240" s="8">
        <f>A239+0.01</f>
        <v/>
      </c>
      <c r="B240" s="21">
        <f>SUMPRODUCT(Calibracion!$C$11:$C$20,1/(1+EXP(-(Calibracion!$E$11:$E$20+A240))))/Calibracion!$C$21-Calibracion!$C$4</f>
        <v/>
      </c>
      <c r="C240" s="21">
        <f>ABS(B240)</f>
        <v/>
      </c>
    </row>
    <row r="241">
      <c r="A241" s="8">
        <f>A240+0.01</f>
        <v/>
      </c>
      <c r="B241" s="21">
        <f>SUMPRODUCT(Calibracion!$C$11:$C$20,1/(1+EXP(-(Calibracion!$E$11:$E$20+A241))))/Calibracion!$C$21-Calibracion!$C$4</f>
        <v/>
      </c>
      <c r="C241" s="21">
        <f>ABS(B241)</f>
        <v/>
      </c>
    </row>
    <row r="242">
      <c r="A242" s="8">
        <f>A241+0.01</f>
        <v/>
      </c>
      <c r="B242" s="21">
        <f>SUMPRODUCT(Calibracion!$C$11:$C$20,1/(1+EXP(-(Calibracion!$E$11:$E$20+A242))))/Calibracion!$C$21-Calibracion!$C$4</f>
        <v/>
      </c>
      <c r="C242" s="21">
        <f>ABS(B242)</f>
        <v/>
      </c>
    </row>
    <row r="243">
      <c r="A243" s="8">
        <f>A242+0.01</f>
        <v/>
      </c>
      <c r="B243" s="21">
        <f>SUMPRODUCT(Calibracion!$C$11:$C$20,1/(1+EXP(-(Calibracion!$E$11:$E$20+A243))))/Calibracion!$C$21-Calibracion!$C$4</f>
        <v/>
      </c>
      <c r="C243" s="21">
        <f>ABS(B243)</f>
        <v/>
      </c>
    </row>
    <row r="244">
      <c r="A244" s="8">
        <f>A243+0.01</f>
        <v/>
      </c>
      <c r="B244" s="21">
        <f>SUMPRODUCT(Calibracion!$C$11:$C$20,1/(1+EXP(-(Calibracion!$E$11:$E$20+A244))))/Calibracion!$C$21-Calibracion!$C$4</f>
        <v/>
      </c>
      <c r="C244" s="21">
        <f>ABS(B244)</f>
        <v/>
      </c>
    </row>
    <row r="245">
      <c r="A245" s="8">
        <f>A244+0.01</f>
        <v/>
      </c>
      <c r="B245" s="21">
        <f>SUMPRODUCT(Calibracion!$C$11:$C$20,1/(1+EXP(-(Calibracion!$E$11:$E$20+A245))))/Calibracion!$C$21-Calibracion!$C$4</f>
        <v/>
      </c>
      <c r="C245" s="21">
        <f>ABS(B245)</f>
        <v/>
      </c>
    </row>
    <row r="246">
      <c r="A246" s="8">
        <f>A245+0.01</f>
        <v/>
      </c>
      <c r="B246" s="21">
        <f>SUMPRODUCT(Calibracion!$C$11:$C$20,1/(1+EXP(-(Calibracion!$E$11:$E$20+A246))))/Calibracion!$C$21-Calibracion!$C$4</f>
        <v/>
      </c>
      <c r="C246" s="21">
        <f>ABS(B246)</f>
        <v/>
      </c>
    </row>
    <row r="247">
      <c r="A247" s="8">
        <f>A246+0.01</f>
        <v/>
      </c>
      <c r="B247" s="21">
        <f>SUMPRODUCT(Calibracion!$C$11:$C$20,1/(1+EXP(-(Calibracion!$E$11:$E$20+A247))))/Calibracion!$C$21-Calibracion!$C$4</f>
        <v/>
      </c>
      <c r="C247" s="21">
        <f>ABS(B247)</f>
        <v/>
      </c>
    </row>
    <row r="248">
      <c r="A248" s="8">
        <f>A247+0.01</f>
        <v/>
      </c>
      <c r="B248" s="21">
        <f>SUMPRODUCT(Calibracion!$C$11:$C$20,1/(1+EXP(-(Calibracion!$E$11:$E$20+A248))))/Calibracion!$C$21-Calibracion!$C$4</f>
        <v/>
      </c>
      <c r="C248" s="21">
        <f>ABS(B248)</f>
        <v/>
      </c>
    </row>
    <row r="249">
      <c r="A249" s="8">
        <f>A248+0.01</f>
        <v/>
      </c>
      <c r="B249" s="21">
        <f>SUMPRODUCT(Calibracion!$C$11:$C$20,1/(1+EXP(-(Calibracion!$E$11:$E$20+A249))))/Calibracion!$C$21-Calibracion!$C$4</f>
        <v/>
      </c>
      <c r="C249" s="21">
        <f>ABS(B249)</f>
        <v/>
      </c>
    </row>
    <row r="250">
      <c r="A250" s="8">
        <f>A249+0.01</f>
        <v/>
      </c>
      <c r="B250" s="21">
        <f>SUMPRODUCT(Calibracion!$C$11:$C$20,1/(1+EXP(-(Calibracion!$E$11:$E$20+A250))))/Calibracion!$C$21-Calibracion!$C$4</f>
        <v/>
      </c>
      <c r="C250" s="21">
        <f>ABS(B250)</f>
        <v/>
      </c>
    </row>
    <row r="251">
      <c r="A251" s="8">
        <f>A250+0.01</f>
        <v/>
      </c>
      <c r="B251" s="21">
        <f>SUMPRODUCT(Calibracion!$C$11:$C$20,1/(1+EXP(-(Calibracion!$E$11:$E$20+A251))))/Calibracion!$C$21-Calibracion!$C$4</f>
        <v/>
      </c>
      <c r="C251" s="21">
        <f>ABS(B251)</f>
        <v/>
      </c>
    </row>
    <row r="252">
      <c r="A252" s="8">
        <f>A251+0.01</f>
        <v/>
      </c>
      <c r="B252" s="21">
        <f>SUMPRODUCT(Calibracion!$C$11:$C$20,1/(1+EXP(-(Calibracion!$E$11:$E$20+A252))))/Calibracion!$C$21-Calibracion!$C$4</f>
        <v/>
      </c>
      <c r="C252" s="21">
        <f>ABS(B252)</f>
        <v/>
      </c>
    </row>
    <row r="253">
      <c r="A253" s="8">
        <f>A252+0.01</f>
        <v/>
      </c>
      <c r="B253" s="21">
        <f>SUMPRODUCT(Calibracion!$C$11:$C$20,1/(1+EXP(-(Calibracion!$E$11:$E$20+A253))))/Calibracion!$C$21-Calibracion!$C$4</f>
        <v/>
      </c>
      <c r="C253" s="21">
        <f>ABS(B253)</f>
        <v/>
      </c>
    </row>
    <row r="254">
      <c r="A254" s="8">
        <f>A253+0.01</f>
        <v/>
      </c>
      <c r="B254" s="21">
        <f>SUMPRODUCT(Calibracion!$C$11:$C$20,1/(1+EXP(-(Calibracion!$E$11:$E$20+A254))))/Calibracion!$C$21-Calibracion!$C$4</f>
        <v/>
      </c>
      <c r="C254" s="21">
        <f>ABS(B254)</f>
        <v/>
      </c>
    </row>
    <row r="255">
      <c r="A255" s="8">
        <f>A254+0.01</f>
        <v/>
      </c>
      <c r="B255" s="21">
        <f>SUMPRODUCT(Calibracion!$C$11:$C$20,1/(1+EXP(-(Calibracion!$E$11:$E$20+A255))))/Calibracion!$C$21-Calibracion!$C$4</f>
        <v/>
      </c>
      <c r="C255" s="21">
        <f>ABS(B255)</f>
        <v/>
      </c>
    </row>
    <row r="256">
      <c r="A256" s="8">
        <f>A255+0.01</f>
        <v/>
      </c>
      <c r="B256" s="21">
        <f>SUMPRODUCT(Calibracion!$C$11:$C$20,1/(1+EXP(-(Calibracion!$E$11:$E$20+A256))))/Calibracion!$C$21-Calibracion!$C$4</f>
        <v/>
      </c>
      <c r="C256" s="21">
        <f>ABS(B256)</f>
        <v/>
      </c>
    </row>
    <row r="257">
      <c r="A257" s="8">
        <f>A256+0.01</f>
        <v/>
      </c>
      <c r="B257" s="21">
        <f>SUMPRODUCT(Calibracion!$C$11:$C$20,1/(1+EXP(-(Calibracion!$E$11:$E$20+A257))))/Calibracion!$C$21-Calibracion!$C$4</f>
        <v/>
      </c>
      <c r="C257" s="21">
        <f>ABS(B257)</f>
        <v/>
      </c>
    </row>
    <row r="258">
      <c r="A258" s="8">
        <f>A257+0.01</f>
        <v/>
      </c>
      <c r="B258" s="21">
        <f>SUMPRODUCT(Calibracion!$C$11:$C$20,1/(1+EXP(-(Calibracion!$E$11:$E$20+A258))))/Calibracion!$C$21-Calibracion!$C$4</f>
        <v/>
      </c>
      <c r="C258" s="21">
        <f>ABS(B258)</f>
        <v/>
      </c>
    </row>
    <row r="259">
      <c r="A259" s="8">
        <f>A258+0.01</f>
        <v/>
      </c>
      <c r="B259" s="21">
        <f>SUMPRODUCT(Calibracion!$C$11:$C$20,1/(1+EXP(-(Calibracion!$E$11:$E$20+A259))))/Calibracion!$C$21-Calibracion!$C$4</f>
        <v/>
      </c>
      <c r="C259" s="21">
        <f>ABS(B259)</f>
        <v/>
      </c>
    </row>
    <row r="260">
      <c r="A260" s="8">
        <f>A259+0.01</f>
        <v/>
      </c>
      <c r="B260" s="21">
        <f>SUMPRODUCT(Calibracion!$C$11:$C$20,1/(1+EXP(-(Calibracion!$E$11:$E$20+A260))))/Calibracion!$C$21-Calibracion!$C$4</f>
        <v/>
      </c>
      <c r="C260" s="21">
        <f>ABS(B260)</f>
        <v/>
      </c>
    </row>
    <row r="261">
      <c r="A261" s="8">
        <f>A260+0.01</f>
        <v/>
      </c>
      <c r="B261" s="21">
        <f>SUMPRODUCT(Calibracion!$C$11:$C$20,1/(1+EXP(-(Calibracion!$E$11:$E$20+A261))))/Calibracion!$C$21-Calibracion!$C$4</f>
        <v/>
      </c>
      <c r="C261" s="21">
        <f>ABS(B261)</f>
        <v/>
      </c>
    </row>
    <row r="262">
      <c r="A262" s="8">
        <f>A261+0.01</f>
        <v/>
      </c>
      <c r="B262" s="21">
        <f>SUMPRODUCT(Calibracion!$C$11:$C$20,1/(1+EXP(-(Calibracion!$E$11:$E$20+A262))))/Calibracion!$C$21-Calibracion!$C$4</f>
        <v/>
      </c>
      <c r="C262" s="21">
        <f>ABS(B262)</f>
        <v/>
      </c>
    </row>
    <row r="263">
      <c r="A263" s="8">
        <f>A262+0.01</f>
        <v/>
      </c>
      <c r="B263" s="21">
        <f>SUMPRODUCT(Calibracion!$C$11:$C$20,1/(1+EXP(-(Calibracion!$E$11:$E$20+A263))))/Calibracion!$C$21-Calibracion!$C$4</f>
        <v/>
      </c>
      <c r="C263" s="21">
        <f>ABS(B263)</f>
        <v/>
      </c>
    </row>
    <row r="264">
      <c r="A264" s="8">
        <f>A263+0.01</f>
        <v/>
      </c>
      <c r="B264" s="21">
        <f>SUMPRODUCT(Calibracion!$C$11:$C$20,1/(1+EXP(-(Calibracion!$E$11:$E$20+A264))))/Calibracion!$C$21-Calibracion!$C$4</f>
        <v/>
      </c>
      <c r="C264" s="21">
        <f>ABS(B264)</f>
        <v/>
      </c>
    </row>
    <row r="265">
      <c r="A265" s="8">
        <f>A264+0.01</f>
        <v/>
      </c>
      <c r="B265" s="21">
        <f>SUMPRODUCT(Calibracion!$C$11:$C$20,1/(1+EXP(-(Calibracion!$E$11:$E$20+A265))))/Calibracion!$C$21-Calibracion!$C$4</f>
        <v/>
      </c>
      <c r="C265" s="21">
        <f>ABS(B265)</f>
        <v/>
      </c>
    </row>
    <row r="266">
      <c r="A266" s="8">
        <f>A265+0.01</f>
        <v/>
      </c>
      <c r="B266" s="21">
        <f>SUMPRODUCT(Calibracion!$C$11:$C$20,1/(1+EXP(-(Calibracion!$E$11:$E$20+A266))))/Calibracion!$C$21-Calibracion!$C$4</f>
        <v/>
      </c>
      <c r="C266" s="21">
        <f>ABS(B266)</f>
        <v/>
      </c>
    </row>
    <row r="267">
      <c r="A267" s="8">
        <f>A266+0.01</f>
        <v/>
      </c>
      <c r="B267" s="21">
        <f>SUMPRODUCT(Calibracion!$C$11:$C$20,1/(1+EXP(-(Calibracion!$E$11:$E$20+A267))))/Calibracion!$C$21-Calibracion!$C$4</f>
        <v/>
      </c>
      <c r="C267" s="21">
        <f>ABS(B267)</f>
        <v/>
      </c>
    </row>
    <row r="268">
      <c r="A268" s="8">
        <f>A267+0.01</f>
        <v/>
      </c>
      <c r="B268" s="21">
        <f>SUMPRODUCT(Calibracion!$C$11:$C$20,1/(1+EXP(-(Calibracion!$E$11:$E$20+A268))))/Calibracion!$C$21-Calibracion!$C$4</f>
        <v/>
      </c>
      <c r="C268" s="21">
        <f>ABS(B268)</f>
        <v/>
      </c>
    </row>
    <row r="269">
      <c r="A269" s="8">
        <f>A268+0.01</f>
        <v/>
      </c>
      <c r="B269" s="21">
        <f>SUMPRODUCT(Calibracion!$C$11:$C$20,1/(1+EXP(-(Calibracion!$E$11:$E$20+A269))))/Calibracion!$C$21-Calibracion!$C$4</f>
        <v/>
      </c>
      <c r="C269" s="21">
        <f>ABS(B269)</f>
        <v/>
      </c>
    </row>
    <row r="270">
      <c r="A270" s="8">
        <f>A269+0.01</f>
        <v/>
      </c>
      <c r="B270" s="21">
        <f>SUMPRODUCT(Calibracion!$C$11:$C$20,1/(1+EXP(-(Calibracion!$E$11:$E$20+A270))))/Calibracion!$C$21-Calibracion!$C$4</f>
        <v/>
      </c>
      <c r="C270" s="21">
        <f>ABS(B270)</f>
        <v/>
      </c>
    </row>
    <row r="271">
      <c r="A271" s="8">
        <f>A270+0.01</f>
        <v/>
      </c>
      <c r="B271" s="21">
        <f>SUMPRODUCT(Calibracion!$C$11:$C$20,1/(1+EXP(-(Calibracion!$E$11:$E$20+A271))))/Calibracion!$C$21-Calibracion!$C$4</f>
        <v/>
      </c>
      <c r="C271" s="21">
        <f>ABS(B271)</f>
        <v/>
      </c>
    </row>
    <row r="272">
      <c r="A272" s="8">
        <f>A271+0.01</f>
        <v/>
      </c>
      <c r="B272" s="21">
        <f>SUMPRODUCT(Calibracion!$C$11:$C$20,1/(1+EXP(-(Calibracion!$E$11:$E$20+A272))))/Calibracion!$C$21-Calibracion!$C$4</f>
        <v/>
      </c>
      <c r="C272" s="21">
        <f>ABS(B272)</f>
        <v/>
      </c>
    </row>
    <row r="273">
      <c r="A273" s="8">
        <f>A272+0.01</f>
        <v/>
      </c>
      <c r="B273" s="21">
        <f>SUMPRODUCT(Calibracion!$C$11:$C$20,1/(1+EXP(-(Calibracion!$E$11:$E$20+A273))))/Calibracion!$C$21-Calibracion!$C$4</f>
        <v/>
      </c>
      <c r="C273" s="21">
        <f>ABS(B273)</f>
        <v/>
      </c>
    </row>
    <row r="274">
      <c r="A274" s="8">
        <f>A273+0.01</f>
        <v/>
      </c>
      <c r="B274" s="21">
        <f>SUMPRODUCT(Calibracion!$C$11:$C$20,1/(1+EXP(-(Calibracion!$E$11:$E$20+A274))))/Calibracion!$C$21-Calibracion!$C$4</f>
        <v/>
      </c>
      <c r="C274" s="21">
        <f>ABS(B274)</f>
        <v/>
      </c>
    </row>
    <row r="275">
      <c r="A275" s="8">
        <f>A274+0.01</f>
        <v/>
      </c>
      <c r="B275" s="21">
        <f>SUMPRODUCT(Calibracion!$C$11:$C$20,1/(1+EXP(-(Calibracion!$E$11:$E$20+A275))))/Calibracion!$C$21-Calibracion!$C$4</f>
        <v/>
      </c>
      <c r="C275" s="21">
        <f>ABS(B275)</f>
        <v/>
      </c>
    </row>
    <row r="276">
      <c r="A276" s="8">
        <f>A275+0.01</f>
        <v/>
      </c>
      <c r="B276" s="21">
        <f>SUMPRODUCT(Calibracion!$C$11:$C$20,1/(1+EXP(-(Calibracion!$E$11:$E$20+A276))))/Calibracion!$C$21-Calibracion!$C$4</f>
        <v/>
      </c>
      <c r="C276" s="21">
        <f>ABS(B276)</f>
        <v/>
      </c>
    </row>
    <row r="277">
      <c r="A277" s="8">
        <f>A276+0.01</f>
        <v/>
      </c>
      <c r="B277" s="21">
        <f>SUMPRODUCT(Calibracion!$C$11:$C$20,1/(1+EXP(-(Calibracion!$E$11:$E$20+A277))))/Calibracion!$C$21-Calibracion!$C$4</f>
        <v/>
      </c>
      <c r="C277" s="21">
        <f>ABS(B277)</f>
        <v/>
      </c>
    </row>
    <row r="278">
      <c r="A278" s="8">
        <f>A277+0.01</f>
        <v/>
      </c>
      <c r="B278" s="21">
        <f>SUMPRODUCT(Calibracion!$C$11:$C$20,1/(1+EXP(-(Calibracion!$E$11:$E$20+A278))))/Calibracion!$C$21-Calibracion!$C$4</f>
        <v/>
      </c>
      <c r="C278" s="21">
        <f>ABS(B278)</f>
        <v/>
      </c>
    </row>
    <row r="279">
      <c r="A279" s="8">
        <f>A278+0.01</f>
        <v/>
      </c>
      <c r="B279" s="21">
        <f>SUMPRODUCT(Calibracion!$C$11:$C$20,1/(1+EXP(-(Calibracion!$E$11:$E$20+A279))))/Calibracion!$C$21-Calibracion!$C$4</f>
        <v/>
      </c>
      <c r="C279" s="21">
        <f>ABS(B279)</f>
        <v/>
      </c>
    </row>
    <row r="280">
      <c r="A280" s="8">
        <f>A279+0.01</f>
        <v/>
      </c>
      <c r="B280" s="21">
        <f>SUMPRODUCT(Calibracion!$C$11:$C$20,1/(1+EXP(-(Calibracion!$E$11:$E$20+A280))))/Calibracion!$C$21-Calibracion!$C$4</f>
        <v/>
      </c>
      <c r="C280" s="21">
        <f>ABS(B280)</f>
        <v/>
      </c>
    </row>
    <row r="281">
      <c r="A281" s="8">
        <f>A280+0.01</f>
        <v/>
      </c>
      <c r="B281" s="21">
        <f>SUMPRODUCT(Calibracion!$C$11:$C$20,1/(1+EXP(-(Calibracion!$E$11:$E$20+A281))))/Calibracion!$C$21-Calibracion!$C$4</f>
        <v/>
      </c>
      <c r="C281" s="21">
        <f>ABS(B281)</f>
        <v/>
      </c>
    </row>
    <row r="282">
      <c r="A282" s="8">
        <f>A281+0.01</f>
        <v/>
      </c>
      <c r="B282" s="21">
        <f>SUMPRODUCT(Calibracion!$C$11:$C$20,1/(1+EXP(-(Calibracion!$E$11:$E$20+A282))))/Calibracion!$C$21-Calibracion!$C$4</f>
        <v/>
      </c>
      <c r="C282" s="21">
        <f>ABS(B282)</f>
        <v/>
      </c>
    </row>
    <row r="283">
      <c r="A283" s="8">
        <f>A282+0.01</f>
        <v/>
      </c>
      <c r="B283" s="21">
        <f>SUMPRODUCT(Calibracion!$C$11:$C$20,1/(1+EXP(-(Calibracion!$E$11:$E$20+A283))))/Calibracion!$C$21-Calibracion!$C$4</f>
        <v/>
      </c>
      <c r="C283" s="21">
        <f>ABS(B283)</f>
        <v/>
      </c>
    </row>
    <row r="284">
      <c r="A284" s="8">
        <f>A283+0.01</f>
        <v/>
      </c>
      <c r="B284" s="21">
        <f>SUMPRODUCT(Calibracion!$C$11:$C$20,1/(1+EXP(-(Calibracion!$E$11:$E$20+A284))))/Calibracion!$C$21-Calibracion!$C$4</f>
        <v/>
      </c>
      <c r="C284" s="21">
        <f>ABS(B284)</f>
        <v/>
      </c>
    </row>
    <row r="285">
      <c r="A285" s="8">
        <f>A284+0.01</f>
        <v/>
      </c>
      <c r="B285" s="21">
        <f>SUMPRODUCT(Calibracion!$C$11:$C$20,1/(1+EXP(-(Calibracion!$E$11:$E$20+A285))))/Calibracion!$C$21-Calibracion!$C$4</f>
        <v/>
      </c>
      <c r="C285" s="21">
        <f>ABS(B285)</f>
        <v/>
      </c>
    </row>
    <row r="286">
      <c r="A286" s="8">
        <f>A285+0.01</f>
        <v/>
      </c>
      <c r="B286" s="21">
        <f>SUMPRODUCT(Calibracion!$C$11:$C$20,1/(1+EXP(-(Calibracion!$E$11:$E$20+A286))))/Calibracion!$C$21-Calibracion!$C$4</f>
        <v/>
      </c>
      <c r="C286" s="21">
        <f>ABS(B286)</f>
        <v/>
      </c>
    </row>
    <row r="287">
      <c r="A287" s="8">
        <f>A286+0.01</f>
        <v/>
      </c>
      <c r="B287" s="21">
        <f>SUMPRODUCT(Calibracion!$C$11:$C$20,1/(1+EXP(-(Calibracion!$E$11:$E$20+A287))))/Calibracion!$C$21-Calibracion!$C$4</f>
        <v/>
      </c>
      <c r="C287" s="21">
        <f>ABS(B287)</f>
        <v/>
      </c>
    </row>
    <row r="288">
      <c r="A288" s="8">
        <f>A287+0.01</f>
        <v/>
      </c>
      <c r="B288" s="21">
        <f>SUMPRODUCT(Calibracion!$C$11:$C$20,1/(1+EXP(-(Calibracion!$E$11:$E$20+A288))))/Calibracion!$C$21-Calibracion!$C$4</f>
        <v/>
      </c>
      <c r="C288" s="21">
        <f>ABS(B288)</f>
        <v/>
      </c>
    </row>
    <row r="289">
      <c r="A289" s="8">
        <f>A288+0.01</f>
        <v/>
      </c>
      <c r="B289" s="21">
        <f>SUMPRODUCT(Calibracion!$C$11:$C$20,1/(1+EXP(-(Calibracion!$E$11:$E$20+A289))))/Calibracion!$C$21-Calibracion!$C$4</f>
        <v/>
      </c>
      <c r="C289" s="21">
        <f>ABS(B289)</f>
        <v/>
      </c>
    </row>
    <row r="290">
      <c r="A290" s="8">
        <f>A289+0.01</f>
        <v/>
      </c>
      <c r="B290" s="21">
        <f>SUMPRODUCT(Calibracion!$C$11:$C$20,1/(1+EXP(-(Calibracion!$E$11:$E$20+A290))))/Calibracion!$C$21-Calibracion!$C$4</f>
        <v/>
      </c>
      <c r="C290" s="21">
        <f>ABS(B290)</f>
        <v/>
      </c>
    </row>
    <row r="291">
      <c r="A291" s="8">
        <f>A290+0.01</f>
        <v/>
      </c>
      <c r="B291" s="21">
        <f>SUMPRODUCT(Calibracion!$C$11:$C$20,1/(1+EXP(-(Calibracion!$E$11:$E$20+A291))))/Calibracion!$C$21-Calibracion!$C$4</f>
        <v/>
      </c>
      <c r="C291" s="21">
        <f>ABS(B291)</f>
        <v/>
      </c>
    </row>
    <row r="292">
      <c r="A292" s="8">
        <f>A291+0.01</f>
        <v/>
      </c>
      <c r="B292" s="21">
        <f>SUMPRODUCT(Calibracion!$C$11:$C$20,1/(1+EXP(-(Calibracion!$E$11:$E$20+A292))))/Calibracion!$C$21-Calibracion!$C$4</f>
        <v/>
      </c>
      <c r="C292" s="21">
        <f>ABS(B292)</f>
        <v/>
      </c>
    </row>
    <row r="293">
      <c r="A293" s="8">
        <f>A292+0.01</f>
        <v/>
      </c>
      <c r="B293" s="21">
        <f>SUMPRODUCT(Calibracion!$C$11:$C$20,1/(1+EXP(-(Calibracion!$E$11:$E$20+A293))))/Calibracion!$C$21-Calibracion!$C$4</f>
        <v/>
      </c>
      <c r="C293" s="21">
        <f>ABS(B293)</f>
        <v/>
      </c>
    </row>
    <row r="294">
      <c r="A294" s="8">
        <f>A293+0.01</f>
        <v/>
      </c>
      <c r="B294" s="21">
        <f>SUMPRODUCT(Calibracion!$C$11:$C$20,1/(1+EXP(-(Calibracion!$E$11:$E$20+A294))))/Calibracion!$C$21-Calibracion!$C$4</f>
        <v/>
      </c>
      <c r="C294" s="21">
        <f>ABS(B294)</f>
        <v/>
      </c>
    </row>
    <row r="295">
      <c r="A295" s="8">
        <f>A294+0.01</f>
        <v/>
      </c>
      <c r="B295" s="21">
        <f>SUMPRODUCT(Calibracion!$C$11:$C$20,1/(1+EXP(-(Calibracion!$E$11:$E$20+A295))))/Calibracion!$C$21-Calibracion!$C$4</f>
        <v/>
      </c>
      <c r="C295" s="21">
        <f>ABS(B295)</f>
        <v/>
      </c>
    </row>
    <row r="296">
      <c r="A296" s="8">
        <f>A295+0.01</f>
        <v/>
      </c>
      <c r="B296" s="21">
        <f>SUMPRODUCT(Calibracion!$C$11:$C$20,1/(1+EXP(-(Calibracion!$E$11:$E$20+A296))))/Calibracion!$C$21-Calibracion!$C$4</f>
        <v/>
      </c>
      <c r="C296" s="21">
        <f>ABS(B296)</f>
        <v/>
      </c>
    </row>
    <row r="297">
      <c r="A297" s="8">
        <f>A296+0.01</f>
        <v/>
      </c>
      <c r="B297" s="21">
        <f>SUMPRODUCT(Calibracion!$C$11:$C$20,1/(1+EXP(-(Calibracion!$E$11:$E$20+A297))))/Calibracion!$C$21-Calibracion!$C$4</f>
        <v/>
      </c>
      <c r="C297" s="21">
        <f>ABS(B297)</f>
        <v/>
      </c>
    </row>
    <row r="298">
      <c r="A298" s="8">
        <f>A297+0.01</f>
        <v/>
      </c>
      <c r="B298" s="21">
        <f>SUMPRODUCT(Calibracion!$C$11:$C$20,1/(1+EXP(-(Calibracion!$E$11:$E$20+A298))))/Calibracion!$C$21-Calibracion!$C$4</f>
        <v/>
      </c>
      <c r="C298" s="21">
        <f>ABS(B298)</f>
        <v/>
      </c>
    </row>
    <row r="299">
      <c r="A299" s="8">
        <f>A298+0.01</f>
        <v/>
      </c>
      <c r="B299" s="21">
        <f>SUMPRODUCT(Calibracion!$C$11:$C$20,1/(1+EXP(-(Calibracion!$E$11:$E$20+A299))))/Calibracion!$C$21-Calibracion!$C$4</f>
        <v/>
      </c>
      <c r="C299" s="21">
        <f>ABS(B299)</f>
        <v/>
      </c>
    </row>
    <row r="300">
      <c r="A300" s="8">
        <f>A299+0.01</f>
        <v/>
      </c>
      <c r="B300" s="21">
        <f>SUMPRODUCT(Calibracion!$C$11:$C$20,1/(1+EXP(-(Calibracion!$E$11:$E$20+A300))))/Calibracion!$C$21-Calibracion!$C$4</f>
        <v/>
      </c>
      <c r="C300" s="21">
        <f>ABS(B300)</f>
        <v/>
      </c>
    </row>
    <row r="301">
      <c r="A301" s="8">
        <f>A300+0.01</f>
        <v/>
      </c>
      <c r="B301" s="21">
        <f>SUMPRODUCT(Calibracion!$C$11:$C$20,1/(1+EXP(-(Calibracion!$E$11:$E$20+A301))))/Calibracion!$C$21-Calibracion!$C$4</f>
        <v/>
      </c>
      <c r="C301" s="21">
        <f>ABS(B301)</f>
        <v/>
      </c>
    </row>
    <row r="302">
      <c r="A302" s="8">
        <f>A301+0.01</f>
        <v/>
      </c>
      <c r="B302" s="21">
        <f>SUMPRODUCT(Calibracion!$C$11:$C$20,1/(1+EXP(-(Calibracion!$E$11:$E$20+A302))))/Calibracion!$C$21-Calibracion!$C$4</f>
        <v/>
      </c>
      <c r="C302" s="21">
        <f>ABS(B302)</f>
        <v/>
      </c>
    </row>
    <row r="303">
      <c r="A303" s="8">
        <f>A302+0.01</f>
        <v/>
      </c>
      <c r="B303" s="21">
        <f>SUMPRODUCT(Calibracion!$C$11:$C$20,1/(1+EXP(-(Calibracion!$E$11:$E$20+A303))))/Calibracion!$C$21-Calibracion!$C$4</f>
        <v/>
      </c>
      <c r="C303" s="21">
        <f>ABS(B303)</f>
        <v/>
      </c>
    </row>
    <row r="304">
      <c r="A304" s="8">
        <f>A303+0.01</f>
        <v/>
      </c>
      <c r="B304" s="21">
        <f>SUMPRODUCT(Calibracion!$C$11:$C$20,1/(1+EXP(-(Calibracion!$E$11:$E$20+A304))))/Calibracion!$C$21-Calibracion!$C$4</f>
        <v/>
      </c>
      <c r="C304" s="21">
        <f>ABS(B304)</f>
        <v/>
      </c>
    </row>
    <row r="305">
      <c r="A305" s="8">
        <f>A304+0.01</f>
        <v/>
      </c>
      <c r="B305" s="21">
        <f>SUMPRODUCT(Calibracion!$C$11:$C$20,1/(1+EXP(-(Calibracion!$E$11:$E$20+A305))))/Calibracion!$C$21-Calibracion!$C$4</f>
        <v/>
      </c>
      <c r="C305" s="21">
        <f>ABS(B305)</f>
        <v/>
      </c>
    </row>
    <row r="306">
      <c r="A306" s="8">
        <f>A305+0.01</f>
        <v/>
      </c>
      <c r="B306" s="21">
        <f>SUMPRODUCT(Calibracion!$C$11:$C$20,1/(1+EXP(-(Calibracion!$E$11:$E$20+A306))))/Calibracion!$C$21-Calibracion!$C$4</f>
        <v/>
      </c>
      <c r="C306" s="21">
        <f>ABS(B306)</f>
        <v/>
      </c>
    </row>
    <row r="307">
      <c r="A307" s="8">
        <f>A306+0.01</f>
        <v/>
      </c>
      <c r="B307" s="21">
        <f>SUMPRODUCT(Calibracion!$C$11:$C$20,1/(1+EXP(-(Calibracion!$E$11:$E$20+A307))))/Calibracion!$C$21-Calibracion!$C$4</f>
        <v/>
      </c>
      <c r="C307" s="21">
        <f>ABS(B307)</f>
        <v/>
      </c>
    </row>
    <row r="308">
      <c r="A308" s="8">
        <f>A307+0.01</f>
        <v/>
      </c>
      <c r="B308" s="21">
        <f>SUMPRODUCT(Calibracion!$C$11:$C$20,1/(1+EXP(-(Calibracion!$E$11:$E$20+A308))))/Calibracion!$C$21-Calibracion!$C$4</f>
        <v/>
      </c>
      <c r="C308" s="21">
        <f>ABS(B308)</f>
        <v/>
      </c>
    </row>
    <row r="309">
      <c r="A309" s="8">
        <f>A308+0.01</f>
        <v/>
      </c>
      <c r="B309" s="21">
        <f>SUMPRODUCT(Calibracion!$C$11:$C$20,1/(1+EXP(-(Calibracion!$E$11:$E$20+A309))))/Calibracion!$C$21-Calibracion!$C$4</f>
        <v/>
      </c>
      <c r="C309" s="21">
        <f>ABS(B309)</f>
        <v/>
      </c>
    </row>
    <row r="310">
      <c r="A310" s="8">
        <f>A309+0.01</f>
        <v/>
      </c>
      <c r="B310" s="21">
        <f>SUMPRODUCT(Calibracion!$C$11:$C$20,1/(1+EXP(-(Calibracion!$E$11:$E$20+A310))))/Calibracion!$C$21-Calibracion!$C$4</f>
        <v/>
      </c>
      <c r="C310" s="21">
        <f>ABS(B310)</f>
        <v/>
      </c>
    </row>
    <row r="311">
      <c r="A311" s="8">
        <f>A310+0.01</f>
        <v/>
      </c>
      <c r="B311" s="21">
        <f>SUMPRODUCT(Calibracion!$C$11:$C$20,1/(1+EXP(-(Calibracion!$E$11:$E$20+A311))))/Calibracion!$C$21-Calibracion!$C$4</f>
        <v/>
      </c>
      <c r="C311" s="21">
        <f>ABS(B311)</f>
        <v/>
      </c>
    </row>
    <row r="312">
      <c r="A312" s="8">
        <f>A311+0.01</f>
        <v/>
      </c>
      <c r="B312" s="21">
        <f>SUMPRODUCT(Calibracion!$C$11:$C$20,1/(1+EXP(-(Calibracion!$E$11:$E$20+A312))))/Calibracion!$C$21-Calibracion!$C$4</f>
        <v/>
      </c>
      <c r="C312" s="21">
        <f>ABS(B312)</f>
        <v/>
      </c>
    </row>
    <row r="313">
      <c r="A313" s="8">
        <f>A312+0.01</f>
        <v/>
      </c>
      <c r="B313" s="21">
        <f>SUMPRODUCT(Calibracion!$C$11:$C$20,1/(1+EXP(-(Calibracion!$E$11:$E$20+A313))))/Calibracion!$C$21-Calibracion!$C$4</f>
        <v/>
      </c>
      <c r="C313" s="21">
        <f>ABS(B313)</f>
        <v/>
      </c>
    </row>
    <row r="314">
      <c r="A314" s="8">
        <f>A313+0.01</f>
        <v/>
      </c>
      <c r="B314" s="21">
        <f>SUMPRODUCT(Calibracion!$C$11:$C$20,1/(1+EXP(-(Calibracion!$E$11:$E$20+A314))))/Calibracion!$C$21-Calibracion!$C$4</f>
        <v/>
      </c>
      <c r="C314" s="21">
        <f>ABS(B314)</f>
        <v/>
      </c>
    </row>
    <row r="315">
      <c r="A315" s="8">
        <f>A314+0.01</f>
        <v/>
      </c>
      <c r="B315" s="21">
        <f>SUMPRODUCT(Calibracion!$C$11:$C$20,1/(1+EXP(-(Calibracion!$E$11:$E$20+A315))))/Calibracion!$C$21-Calibracion!$C$4</f>
        <v/>
      </c>
      <c r="C315" s="21">
        <f>ABS(B315)</f>
        <v/>
      </c>
    </row>
    <row r="316">
      <c r="A316" s="8">
        <f>A315+0.01</f>
        <v/>
      </c>
      <c r="B316" s="21">
        <f>SUMPRODUCT(Calibracion!$C$11:$C$20,1/(1+EXP(-(Calibracion!$E$11:$E$20+A316))))/Calibracion!$C$21-Calibracion!$C$4</f>
        <v/>
      </c>
      <c r="C316" s="21">
        <f>ABS(B316)</f>
        <v/>
      </c>
    </row>
    <row r="317">
      <c r="A317" s="8">
        <f>A316+0.01</f>
        <v/>
      </c>
      <c r="B317" s="21">
        <f>SUMPRODUCT(Calibracion!$C$11:$C$20,1/(1+EXP(-(Calibracion!$E$11:$E$20+A317))))/Calibracion!$C$21-Calibracion!$C$4</f>
        <v/>
      </c>
      <c r="C317" s="21">
        <f>ABS(B317)</f>
        <v/>
      </c>
    </row>
    <row r="318">
      <c r="A318" s="8">
        <f>A317+0.01</f>
        <v/>
      </c>
      <c r="B318" s="21">
        <f>SUMPRODUCT(Calibracion!$C$11:$C$20,1/(1+EXP(-(Calibracion!$E$11:$E$20+A318))))/Calibracion!$C$21-Calibracion!$C$4</f>
        <v/>
      </c>
      <c r="C318" s="21">
        <f>ABS(B318)</f>
        <v/>
      </c>
    </row>
    <row r="319">
      <c r="A319" s="8">
        <f>A318+0.01</f>
        <v/>
      </c>
      <c r="B319" s="21">
        <f>SUMPRODUCT(Calibracion!$C$11:$C$20,1/(1+EXP(-(Calibracion!$E$11:$E$20+A319))))/Calibracion!$C$21-Calibracion!$C$4</f>
        <v/>
      </c>
      <c r="C319" s="21">
        <f>ABS(B319)</f>
        <v/>
      </c>
    </row>
    <row r="320">
      <c r="A320" s="8">
        <f>A319+0.01</f>
        <v/>
      </c>
      <c r="B320" s="21">
        <f>SUMPRODUCT(Calibracion!$C$11:$C$20,1/(1+EXP(-(Calibracion!$E$11:$E$20+A320))))/Calibracion!$C$21-Calibracion!$C$4</f>
        <v/>
      </c>
      <c r="C320" s="21">
        <f>ABS(B320)</f>
        <v/>
      </c>
    </row>
    <row r="321">
      <c r="A321" s="8">
        <f>A320+0.01</f>
        <v/>
      </c>
      <c r="B321" s="21">
        <f>SUMPRODUCT(Calibracion!$C$11:$C$20,1/(1+EXP(-(Calibracion!$E$11:$E$20+A321))))/Calibracion!$C$21-Calibracion!$C$4</f>
        <v/>
      </c>
      <c r="C321" s="21">
        <f>ABS(B321)</f>
        <v/>
      </c>
    </row>
    <row r="322">
      <c r="A322" s="8">
        <f>A321+0.01</f>
        <v/>
      </c>
      <c r="B322" s="21">
        <f>SUMPRODUCT(Calibracion!$C$11:$C$20,1/(1+EXP(-(Calibracion!$E$11:$E$20+A322))))/Calibracion!$C$21-Calibracion!$C$4</f>
        <v/>
      </c>
      <c r="C322" s="21">
        <f>ABS(B322)</f>
        <v/>
      </c>
    </row>
    <row r="323">
      <c r="A323" s="8">
        <f>A322+0.01</f>
        <v/>
      </c>
      <c r="B323" s="21">
        <f>SUMPRODUCT(Calibracion!$C$11:$C$20,1/(1+EXP(-(Calibracion!$E$11:$E$20+A323))))/Calibracion!$C$21-Calibracion!$C$4</f>
        <v/>
      </c>
      <c r="C323" s="21">
        <f>ABS(B323)</f>
        <v/>
      </c>
    </row>
    <row r="324">
      <c r="A324" s="8">
        <f>A323+0.01</f>
        <v/>
      </c>
      <c r="B324" s="21">
        <f>SUMPRODUCT(Calibracion!$C$11:$C$20,1/(1+EXP(-(Calibracion!$E$11:$E$20+A324))))/Calibracion!$C$21-Calibracion!$C$4</f>
        <v/>
      </c>
      <c r="C324" s="21">
        <f>ABS(B324)</f>
        <v/>
      </c>
    </row>
    <row r="325">
      <c r="A325" s="8">
        <f>A324+0.01</f>
        <v/>
      </c>
      <c r="B325" s="21">
        <f>SUMPRODUCT(Calibracion!$C$11:$C$20,1/(1+EXP(-(Calibracion!$E$11:$E$20+A325))))/Calibracion!$C$21-Calibracion!$C$4</f>
        <v/>
      </c>
      <c r="C325" s="21">
        <f>ABS(B325)</f>
        <v/>
      </c>
    </row>
    <row r="326">
      <c r="A326" s="8">
        <f>A325+0.01</f>
        <v/>
      </c>
      <c r="B326" s="21">
        <f>SUMPRODUCT(Calibracion!$C$11:$C$20,1/(1+EXP(-(Calibracion!$E$11:$E$20+A326))))/Calibracion!$C$21-Calibracion!$C$4</f>
        <v/>
      </c>
      <c r="C326" s="21">
        <f>ABS(B326)</f>
        <v/>
      </c>
    </row>
    <row r="327">
      <c r="A327" s="8">
        <f>A326+0.01</f>
        <v/>
      </c>
      <c r="B327" s="21">
        <f>SUMPRODUCT(Calibracion!$C$11:$C$20,1/(1+EXP(-(Calibracion!$E$11:$E$20+A327))))/Calibracion!$C$21-Calibracion!$C$4</f>
        <v/>
      </c>
      <c r="C327" s="21">
        <f>ABS(B327)</f>
        <v/>
      </c>
    </row>
    <row r="328">
      <c r="A328" s="8">
        <f>A327+0.01</f>
        <v/>
      </c>
      <c r="B328" s="21">
        <f>SUMPRODUCT(Calibracion!$C$11:$C$20,1/(1+EXP(-(Calibracion!$E$11:$E$20+A328))))/Calibracion!$C$21-Calibracion!$C$4</f>
        <v/>
      </c>
      <c r="C328" s="21">
        <f>ABS(B328)</f>
        <v/>
      </c>
    </row>
    <row r="329">
      <c r="A329" s="8">
        <f>A328+0.01</f>
        <v/>
      </c>
      <c r="B329" s="21">
        <f>SUMPRODUCT(Calibracion!$C$11:$C$20,1/(1+EXP(-(Calibracion!$E$11:$E$20+A329))))/Calibracion!$C$21-Calibracion!$C$4</f>
        <v/>
      </c>
      <c r="C329" s="21">
        <f>ABS(B329)</f>
        <v/>
      </c>
    </row>
    <row r="330">
      <c r="A330" s="8">
        <f>A329+0.01</f>
        <v/>
      </c>
      <c r="B330" s="21">
        <f>SUMPRODUCT(Calibracion!$C$11:$C$20,1/(1+EXP(-(Calibracion!$E$11:$E$20+A330))))/Calibracion!$C$21-Calibracion!$C$4</f>
        <v/>
      </c>
      <c r="C330" s="21">
        <f>ABS(B330)</f>
        <v/>
      </c>
    </row>
    <row r="331">
      <c r="A331" s="8">
        <f>A330+0.01</f>
        <v/>
      </c>
      <c r="B331" s="21">
        <f>SUMPRODUCT(Calibracion!$C$11:$C$20,1/(1+EXP(-(Calibracion!$E$11:$E$20+A331))))/Calibracion!$C$21-Calibracion!$C$4</f>
        <v/>
      </c>
      <c r="C331" s="21">
        <f>ABS(B331)</f>
        <v/>
      </c>
    </row>
    <row r="332">
      <c r="A332" s="8">
        <f>A331+0.01</f>
        <v/>
      </c>
      <c r="B332" s="21">
        <f>SUMPRODUCT(Calibracion!$C$11:$C$20,1/(1+EXP(-(Calibracion!$E$11:$E$20+A332))))/Calibracion!$C$21-Calibracion!$C$4</f>
        <v/>
      </c>
      <c r="C332" s="21">
        <f>ABS(B332)</f>
        <v/>
      </c>
    </row>
    <row r="333">
      <c r="A333" s="8">
        <f>A332+0.01</f>
        <v/>
      </c>
      <c r="B333" s="21">
        <f>SUMPRODUCT(Calibracion!$C$11:$C$20,1/(1+EXP(-(Calibracion!$E$11:$E$20+A333))))/Calibracion!$C$21-Calibracion!$C$4</f>
        <v/>
      </c>
      <c r="C333" s="21">
        <f>ABS(B333)</f>
        <v/>
      </c>
    </row>
    <row r="334">
      <c r="A334" s="8">
        <f>A333+0.01</f>
        <v/>
      </c>
      <c r="B334" s="21">
        <f>SUMPRODUCT(Calibracion!$C$11:$C$20,1/(1+EXP(-(Calibracion!$E$11:$E$20+A334))))/Calibracion!$C$21-Calibracion!$C$4</f>
        <v/>
      </c>
      <c r="C334" s="21">
        <f>ABS(B334)</f>
        <v/>
      </c>
    </row>
    <row r="335">
      <c r="A335" s="8">
        <f>A334+0.01</f>
        <v/>
      </c>
      <c r="B335" s="21">
        <f>SUMPRODUCT(Calibracion!$C$11:$C$20,1/(1+EXP(-(Calibracion!$E$11:$E$20+A335))))/Calibracion!$C$21-Calibracion!$C$4</f>
        <v/>
      </c>
      <c r="C335" s="21">
        <f>ABS(B335)</f>
        <v/>
      </c>
    </row>
    <row r="336">
      <c r="A336" s="8">
        <f>A335+0.01</f>
        <v/>
      </c>
      <c r="B336" s="21">
        <f>SUMPRODUCT(Calibracion!$C$11:$C$20,1/(1+EXP(-(Calibracion!$E$11:$E$20+A336))))/Calibracion!$C$21-Calibracion!$C$4</f>
        <v/>
      </c>
      <c r="C336" s="21">
        <f>ABS(B336)</f>
        <v/>
      </c>
    </row>
    <row r="337">
      <c r="A337" s="8">
        <f>A336+0.01</f>
        <v/>
      </c>
      <c r="B337" s="21">
        <f>SUMPRODUCT(Calibracion!$C$11:$C$20,1/(1+EXP(-(Calibracion!$E$11:$E$20+A337))))/Calibracion!$C$21-Calibracion!$C$4</f>
        <v/>
      </c>
      <c r="C337" s="21">
        <f>ABS(B337)</f>
        <v/>
      </c>
    </row>
    <row r="338">
      <c r="A338" s="8">
        <f>A337+0.01</f>
        <v/>
      </c>
      <c r="B338" s="21">
        <f>SUMPRODUCT(Calibracion!$C$11:$C$20,1/(1+EXP(-(Calibracion!$E$11:$E$20+A338))))/Calibracion!$C$21-Calibracion!$C$4</f>
        <v/>
      </c>
      <c r="C338" s="21">
        <f>ABS(B338)</f>
        <v/>
      </c>
    </row>
    <row r="339">
      <c r="A339" s="8">
        <f>A338+0.01</f>
        <v/>
      </c>
      <c r="B339" s="21">
        <f>SUMPRODUCT(Calibracion!$C$11:$C$20,1/(1+EXP(-(Calibracion!$E$11:$E$20+A339))))/Calibracion!$C$21-Calibracion!$C$4</f>
        <v/>
      </c>
      <c r="C339" s="21">
        <f>ABS(B339)</f>
        <v/>
      </c>
    </row>
    <row r="340">
      <c r="A340" s="8">
        <f>A339+0.01</f>
        <v/>
      </c>
      <c r="B340" s="21">
        <f>SUMPRODUCT(Calibracion!$C$11:$C$20,1/(1+EXP(-(Calibracion!$E$11:$E$20+A340))))/Calibracion!$C$21-Calibracion!$C$4</f>
        <v/>
      </c>
      <c r="C340" s="21">
        <f>ABS(B340)</f>
        <v/>
      </c>
    </row>
    <row r="341">
      <c r="A341" s="8">
        <f>A340+0.01</f>
        <v/>
      </c>
      <c r="B341" s="21">
        <f>SUMPRODUCT(Calibracion!$C$11:$C$20,1/(1+EXP(-(Calibracion!$E$11:$E$20+A341))))/Calibracion!$C$21-Calibracion!$C$4</f>
        <v/>
      </c>
      <c r="C341" s="21">
        <f>ABS(B341)</f>
        <v/>
      </c>
    </row>
    <row r="342">
      <c r="A342" s="8">
        <f>A341+0.01</f>
        <v/>
      </c>
      <c r="B342" s="21">
        <f>SUMPRODUCT(Calibracion!$C$11:$C$20,1/(1+EXP(-(Calibracion!$E$11:$E$20+A342))))/Calibracion!$C$21-Calibracion!$C$4</f>
        <v/>
      </c>
      <c r="C342" s="21">
        <f>ABS(B342)</f>
        <v/>
      </c>
    </row>
    <row r="343">
      <c r="A343" s="8">
        <f>A342+0.01</f>
        <v/>
      </c>
      <c r="B343" s="21">
        <f>SUMPRODUCT(Calibracion!$C$11:$C$20,1/(1+EXP(-(Calibracion!$E$11:$E$20+A343))))/Calibracion!$C$21-Calibracion!$C$4</f>
        <v/>
      </c>
      <c r="C343" s="21">
        <f>ABS(B343)</f>
        <v/>
      </c>
    </row>
    <row r="344">
      <c r="A344" s="8">
        <f>A343+0.01</f>
        <v/>
      </c>
      <c r="B344" s="21">
        <f>SUMPRODUCT(Calibracion!$C$11:$C$20,1/(1+EXP(-(Calibracion!$E$11:$E$20+A344))))/Calibracion!$C$21-Calibracion!$C$4</f>
        <v/>
      </c>
      <c r="C344" s="21">
        <f>ABS(B344)</f>
        <v/>
      </c>
    </row>
    <row r="345">
      <c r="A345" s="8">
        <f>A344+0.01</f>
        <v/>
      </c>
      <c r="B345" s="21">
        <f>SUMPRODUCT(Calibracion!$C$11:$C$20,1/(1+EXP(-(Calibracion!$E$11:$E$20+A345))))/Calibracion!$C$21-Calibracion!$C$4</f>
        <v/>
      </c>
      <c r="C345" s="21">
        <f>ABS(B345)</f>
        <v/>
      </c>
    </row>
    <row r="346">
      <c r="A346" s="8">
        <f>A345+0.01</f>
        <v/>
      </c>
      <c r="B346" s="21">
        <f>SUMPRODUCT(Calibracion!$C$11:$C$20,1/(1+EXP(-(Calibracion!$E$11:$E$20+A346))))/Calibracion!$C$21-Calibracion!$C$4</f>
        <v/>
      </c>
      <c r="C346" s="21">
        <f>ABS(B346)</f>
        <v/>
      </c>
    </row>
    <row r="347">
      <c r="A347" s="8">
        <f>A346+0.01</f>
        <v/>
      </c>
      <c r="B347" s="21">
        <f>SUMPRODUCT(Calibracion!$C$11:$C$20,1/(1+EXP(-(Calibracion!$E$11:$E$20+A347))))/Calibracion!$C$21-Calibracion!$C$4</f>
        <v/>
      </c>
      <c r="C347" s="21">
        <f>ABS(B347)</f>
        <v/>
      </c>
    </row>
    <row r="348">
      <c r="A348" s="8">
        <f>A347+0.01</f>
        <v/>
      </c>
      <c r="B348" s="21">
        <f>SUMPRODUCT(Calibracion!$C$11:$C$20,1/(1+EXP(-(Calibracion!$E$11:$E$20+A348))))/Calibracion!$C$21-Calibracion!$C$4</f>
        <v/>
      </c>
      <c r="C348" s="21">
        <f>ABS(B348)</f>
        <v/>
      </c>
    </row>
    <row r="349">
      <c r="A349" s="8">
        <f>A348+0.01</f>
        <v/>
      </c>
      <c r="B349" s="21">
        <f>SUMPRODUCT(Calibracion!$C$11:$C$20,1/(1+EXP(-(Calibracion!$E$11:$E$20+A349))))/Calibracion!$C$21-Calibracion!$C$4</f>
        <v/>
      </c>
      <c r="C349" s="21">
        <f>ABS(B349)</f>
        <v/>
      </c>
    </row>
    <row r="350">
      <c r="A350" s="8">
        <f>A349+0.01</f>
        <v/>
      </c>
      <c r="B350" s="21">
        <f>SUMPRODUCT(Calibracion!$C$11:$C$20,1/(1+EXP(-(Calibracion!$E$11:$E$20+A350))))/Calibracion!$C$21-Calibracion!$C$4</f>
        <v/>
      </c>
      <c r="C350" s="21">
        <f>ABS(B350)</f>
        <v/>
      </c>
    </row>
    <row r="351">
      <c r="A351" s="8">
        <f>A350+0.01</f>
        <v/>
      </c>
      <c r="B351" s="21">
        <f>SUMPRODUCT(Calibracion!$C$11:$C$20,1/(1+EXP(-(Calibracion!$E$11:$E$20+A351))))/Calibracion!$C$21-Calibracion!$C$4</f>
        <v/>
      </c>
      <c r="C351" s="21">
        <f>ABS(B351)</f>
        <v/>
      </c>
    </row>
    <row r="352">
      <c r="A352" s="8">
        <f>A351+0.01</f>
        <v/>
      </c>
      <c r="B352" s="21">
        <f>SUMPRODUCT(Calibracion!$C$11:$C$20,1/(1+EXP(-(Calibracion!$E$11:$E$20+A352))))/Calibracion!$C$21-Calibracion!$C$4</f>
        <v/>
      </c>
      <c r="C352" s="21">
        <f>ABS(B352)</f>
        <v/>
      </c>
    </row>
    <row r="353">
      <c r="A353" s="8">
        <f>A352+0.01</f>
        <v/>
      </c>
      <c r="B353" s="21">
        <f>SUMPRODUCT(Calibracion!$C$11:$C$20,1/(1+EXP(-(Calibracion!$E$11:$E$20+A353))))/Calibracion!$C$21-Calibracion!$C$4</f>
        <v/>
      </c>
      <c r="C353" s="21">
        <f>ABS(B353)</f>
        <v/>
      </c>
    </row>
    <row r="354">
      <c r="A354" s="8">
        <f>A353+0.01</f>
        <v/>
      </c>
      <c r="B354" s="21">
        <f>SUMPRODUCT(Calibracion!$C$11:$C$20,1/(1+EXP(-(Calibracion!$E$11:$E$20+A354))))/Calibracion!$C$21-Calibracion!$C$4</f>
        <v/>
      </c>
      <c r="C354" s="21">
        <f>ABS(B354)</f>
        <v/>
      </c>
    </row>
    <row r="355">
      <c r="A355" s="8">
        <f>A354+0.01</f>
        <v/>
      </c>
      <c r="B355" s="21">
        <f>SUMPRODUCT(Calibracion!$C$11:$C$20,1/(1+EXP(-(Calibracion!$E$11:$E$20+A355))))/Calibracion!$C$21-Calibracion!$C$4</f>
        <v/>
      </c>
      <c r="C355" s="21">
        <f>ABS(B355)</f>
        <v/>
      </c>
    </row>
    <row r="356">
      <c r="A356" s="8">
        <f>A355+0.01</f>
        <v/>
      </c>
      <c r="B356" s="21">
        <f>SUMPRODUCT(Calibracion!$C$11:$C$20,1/(1+EXP(-(Calibracion!$E$11:$E$20+A356))))/Calibracion!$C$21-Calibracion!$C$4</f>
        <v/>
      </c>
      <c r="C356" s="21">
        <f>ABS(B356)</f>
        <v/>
      </c>
    </row>
    <row r="357">
      <c r="A357" s="8">
        <f>A356+0.01</f>
        <v/>
      </c>
      <c r="B357" s="21">
        <f>SUMPRODUCT(Calibracion!$C$11:$C$20,1/(1+EXP(-(Calibracion!$E$11:$E$20+A357))))/Calibracion!$C$21-Calibracion!$C$4</f>
        <v/>
      </c>
      <c r="C357" s="21">
        <f>ABS(B357)</f>
        <v/>
      </c>
    </row>
    <row r="358">
      <c r="A358" s="8">
        <f>A357+0.01</f>
        <v/>
      </c>
      <c r="B358" s="21">
        <f>SUMPRODUCT(Calibracion!$C$11:$C$20,1/(1+EXP(-(Calibracion!$E$11:$E$20+A358))))/Calibracion!$C$21-Calibracion!$C$4</f>
        <v/>
      </c>
      <c r="C358" s="21">
        <f>ABS(B358)</f>
        <v/>
      </c>
    </row>
    <row r="359">
      <c r="A359" s="8">
        <f>A358+0.01</f>
        <v/>
      </c>
      <c r="B359" s="21">
        <f>SUMPRODUCT(Calibracion!$C$11:$C$20,1/(1+EXP(-(Calibracion!$E$11:$E$20+A359))))/Calibracion!$C$21-Calibracion!$C$4</f>
        <v/>
      </c>
      <c r="C359" s="21">
        <f>ABS(B359)</f>
        <v/>
      </c>
    </row>
    <row r="360">
      <c r="A360" s="8">
        <f>A359+0.01</f>
        <v/>
      </c>
      <c r="B360" s="21">
        <f>SUMPRODUCT(Calibracion!$C$11:$C$20,1/(1+EXP(-(Calibracion!$E$11:$E$20+A360))))/Calibracion!$C$21-Calibracion!$C$4</f>
        <v/>
      </c>
      <c r="C360" s="21">
        <f>ABS(B360)</f>
        <v/>
      </c>
    </row>
    <row r="361">
      <c r="A361" s="8">
        <f>A360+0.01</f>
        <v/>
      </c>
      <c r="B361" s="21">
        <f>SUMPRODUCT(Calibracion!$C$11:$C$20,1/(1+EXP(-(Calibracion!$E$11:$E$20+A361))))/Calibracion!$C$21-Calibracion!$C$4</f>
        <v/>
      </c>
      <c r="C361" s="21">
        <f>ABS(B361)</f>
        <v/>
      </c>
    </row>
    <row r="362">
      <c r="A362" s="8">
        <f>A361+0.01</f>
        <v/>
      </c>
      <c r="B362" s="21">
        <f>SUMPRODUCT(Calibracion!$C$11:$C$20,1/(1+EXP(-(Calibracion!$E$11:$E$20+A362))))/Calibracion!$C$21-Calibracion!$C$4</f>
        <v/>
      </c>
      <c r="C362" s="21">
        <f>ABS(B362)</f>
        <v/>
      </c>
    </row>
    <row r="363">
      <c r="A363" s="8">
        <f>A362+0.01</f>
        <v/>
      </c>
      <c r="B363" s="21">
        <f>SUMPRODUCT(Calibracion!$C$11:$C$20,1/(1+EXP(-(Calibracion!$E$11:$E$20+A363))))/Calibracion!$C$21-Calibracion!$C$4</f>
        <v/>
      </c>
      <c r="C363" s="21">
        <f>ABS(B363)</f>
        <v/>
      </c>
    </row>
    <row r="364">
      <c r="A364" s="8">
        <f>A363+0.01</f>
        <v/>
      </c>
      <c r="B364" s="21">
        <f>SUMPRODUCT(Calibracion!$C$11:$C$20,1/(1+EXP(-(Calibracion!$E$11:$E$20+A364))))/Calibracion!$C$21-Calibracion!$C$4</f>
        <v/>
      </c>
      <c r="C364" s="21">
        <f>ABS(B364)</f>
        <v/>
      </c>
    </row>
    <row r="365">
      <c r="A365" s="8">
        <f>A364+0.01</f>
        <v/>
      </c>
      <c r="B365" s="21">
        <f>SUMPRODUCT(Calibracion!$C$11:$C$20,1/(1+EXP(-(Calibracion!$E$11:$E$20+A365))))/Calibracion!$C$21-Calibracion!$C$4</f>
        <v/>
      </c>
      <c r="C365" s="21">
        <f>ABS(B365)</f>
        <v/>
      </c>
    </row>
    <row r="366">
      <c r="A366" s="8">
        <f>A365+0.01</f>
        <v/>
      </c>
      <c r="B366" s="21">
        <f>SUMPRODUCT(Calibracion!$C$11:$C$20,1/(1+EXP(-(Calibracion!$E$11:$E$20+A366))))/Calibracion!$C$21-Calibracion!$C$4</f>
        <v/>
      </c>
      <c r="C366" s="21">
        <f>ABS(B366)</f>
        <v/>
      </c>
    </row>
    <row r="367">
      <c r="A367" s="8">
        <f>A366+0.01</f>
        <v/>
      </c>
      <c r="B367" s="21">
        <f>SUMPRODUCT(Calibracion!$C$11:$C$20,1/(1+EXP(-(Calibracion!$E$11:$E$20+A367))))/Calibracion!$C$21-Calibracion!$C$4</f>
        <v/>
      </c>
      <c r="C367" s="21">
        <f>ABS(B367)</f>
        <v/>
      </c>
    </row>
    <row r="368">
      <c r="A368" s="8">
        <f>A367+0.01</f>
        <v/>
      </c>
      <c r="B368" s="21">
        <f>SUMPRODUCT(Calibracion!$C$11:$C$20,1/(1+EXP(-(Calibracion!$E$11:$E$20+A368))))/Calibracion!$C$21-Calibracion!$C$4</f>
        <v/>
      </c>
      <c r="C368" s="21">
        <f>ABS(B368)</f>
        <v/>
      </c>
    </row>
    <row r="369">
      <c r="A369" s="8">
        <f>A368+0.01</f>
        <v/>
      </c>
      <c r="B369" s="21">
        <f>SUMPRODUCT(Calibracion!$C$11:$C$20,1/(1+EXP(-(Calibracion!$E$11:$E$20+A369))))/Calibracion!$C$21-Calibracion!$C$4</f>
        <v/>
      </c>
      <c r="C369" s="21">
        <f>ABS(B369)</f>
        <v/>
      </c>
    </row>
    <row r="370">
      <c r="A370" s="8">
        <f>A369+0.01</f>
        <v/>
      </c>
      <c r="B370" s="21">
        <f>SUMPRODUCT(Calibracion!$C$11:$C$20,1/(1+EXP(-(Calibracion!$E$11:$E$20+A370))))/Calibracion!$C$21-Calibracion!$C$4</f>
        <v/>
      </c>
      <c r="C370" s="21">
        <f>ABS(B370)</f>
        <v/>
      </c>
    </row>
    <row r="371">
      <c r="A371" s="8">
        <f>A370+0.01</f>
        <v/>
      </c>
      <c r="B371" s="21">
        <f>SUMPRODUCT(Calibracion!$C$11:$C$20,1/(1+EXP(-(Calibracion!$E$11:$E$20+A371))))/Calibracion!$C$21-Calibracion!$C$4</f>
        <v/>
      </c>
      <c r="C371" s="21">
        <f>ABS(B371)</f>
        <v/>
      </c>
    </row>
    <row r="372">
      <c r="A372" s="8">
        <f>A371+0.01</f>
        <v/>
      </c>
      <c r="B372" s="21">
        <f>SUMPRODUCT(Calibracion!$C$11:$C$20,1/(1+EXP(-(Calibracion!$E$11:$E$20+A372))))/Calibracion!$C$21-Calibracion!$C$4</f>
        <v/>
      </c>
      <c r="C372" s="21">
        <f>ABS(B372)</f>
        <v/>
      </c>
    </row>
    <row r="373">
      <c r="A373" s="8">
        <f>A372+0.01</f>
        <v/>
      </c>
      <c r="B373" s="21">
        <f>SUMPRODUCT(Calibracion!$C$11:$C$20,1/(1+EXP(-(Calibracion!$E$11:$E$20+A373))))/Calibracion!$C$21-Calibracion!$C$4</f>
        <v/>
      </c>
      <c r="C373" s="21">
        <f>ABS(B373)</f>
        <v/>
      </c>
    </row>
    <row r="374">
      <c r="A374" s="8">
        <f>A373+0.01</f>
        <v/>
      </c>
      <c r="B374" s="21">
        <f>SUMPRODUCT(Calibracion!$C$11:$C$20,1/(1+EXP(-(Calibracion!$E$11:$E$20+A374))))/Calibracion!$C$21-Calibracion!$C$4</f>
        <v/>
      </c>
      <c r="C374" s="21">
        <f>ABS(B374)</f>
        <v/>
      </c>
    </row>
    <row r="375">
      <c r="A375" s="8">
        <f>A374+0.01</f>
        <v/>
      </c>
      <c r="B375" s="21">
        <f>SUMPRODUCT(Calibracion!$C$11:$C$20,1/(1+EXP(-(Calibracion!$E$11:$E$20+A375))))/Calibracion!$C$21-Calibracion!$C$4</f>
        <v/>
      </c>
      <c r="C375" s="21">
        <f>ABS(B375)</f>
        <v/>
      </c>
    </row>
    <row r="376">
      <c r="A376" s="8">
        <f>A375+0.01</f>
        <v/>
      </c>
      <c r="B376" s="21">
        <f>SUMPRODUCT(Calibracion!$C$11:$C$20,1/(1+EXP(-(Calibracion!$E$11:$E$20+A376))))/Calibracion!$C$21-Calibracion!$C$4</f>
        <v/>
      </c>
      <c r="C376" s="21">
        <f>ABS(B376)</f>
        <v/>
      </c>
    </row>
    <row r="377">
      <c r="A377" s="8">
        <f>A376+0.01</f>
        <v/>
      </c>
      <c r="B377" s="21">
        <f>SUMPRODUCT(Calibracion!$C$11:$C$20,1/(1+EXP(-(Calibracion!$E$11:$E$20+A377))))/Calibracion!$C$21-Calibracion!$C$4</f>
        <v/>
      </c>
      <c r="C377" s="21">
        <f>ABS(B377)</f>
        <v/>
      </c>
    </row>
    <row r="378">
      <c r="A378" s="8">
        <f>A377+0.01</f>
        <v/>
      </c>
      <c r="B378" s="21">
        <f>SUMPRODUCT(Calibracion!$C$11:$C$20,1/(1+EXP(-(Calibracion!$E$11:$E$20+A378))))/Calibracion!$C$21-Calibracion!$C$4</f>
        <v/>
      </c>
      <c r="C378" s="21">
        <f>ABS(B378)</f>
        <v/>
      </c>
    </row>
    <row r="379">
      <c r="A379" s="8">
        <f>A378+0.01</f>
        <v/>
      </c>
      <c r="B379" s="21">
        <f>SUMPRODUCT(Calibracion!$C$11:$C$20,1/(1+EXP(-(Calibracion!$E$11:$E$20+A379))))/Calibracion!$C$21-Calibracion!$C$4</f>
        <v/>
      </c>
      <c r="C379" s="21">
        <f>ABS(B379)</f>
        <v/>
      </c>
    </row>
    <row r="380">
      <c r="A380" s="8">
        <f>A379+0.01</f>
        <v/>
      </c>
      <c r="B380" s="21">
        <f>SUMPRODUCT(Calibracion!$C$11:$C$20,1/(1+EXP(-(Calibracion!$E$11:$E$20+A380))))/Calibracion!$C$21-Calibracion!$C$4</f>
        <v/>
      </c>
      <c r="C380" s="21">
        <f>ABS(B380)</f>
        <v/>
      </c>
    </row>
    <row r="381">
      <c r="A381" s="8">
        <f>A380+0.01</f>
        <v/>
      </c>
      <c r="B381" s="21">
        <f>SUMPRODUCT(Calibracion!$C$11:$C$20,1/(1+EXP(-(Calibracion!$E$11:$E$20+A381))))/Calibracion!$C$21-Calibracion!$C$4</f>
        <v/>
      </c>
      <c r="C381" s="21">
        <f>ABS(B381)</f>
        <v/>
      </c>
    </row>
    <row r="382">
      <c r="A382" s="8">
        <f>A381+0.01</f>
        <v/>
      </c>
      <c r="B382" s="21">
        <f>SUMPRODUCT(Calibracion!$C$11:$C$20,1/(1+EXP(-(Calibracion!$E$11:$E$20+A382))))/Calibracion!$C$21-Calibracion!$C$4</f>
        <v/>
      </c>
      <c r="C382" s="21">
        <f>ABS(B382)</f>
        <v/>
      </c>
    </row>
    <row r="383">
      <c r="A383" s="8">
        <f>A382+0.01</f>
        <v/>
      </c>
      <c r="B383" s="21">
        <f>SUMPRODUCT(Calibracion!$C$11:$C$20,1/(1+EXP(-(Calibracion!$E$11:$E$20+A383))))/Calibracion!$C$21-Calibracion!$C$4</f>
        <v/>
      </c>
      <c r="C383" s="21">
        <f>ABS(B383)</f>
        <v/>
      </c>
    </row>
    <row r="384">
      <c r="A384" s="8">
        <f>A383+0.01</f>
        <v/>
      </c>
      <c r="B384" s="21">
        <f>SUMPRODUCT(Calibracion!$C$11:$C$20,1/(1+EXP(-(Calibracion!$E$11:$E$20+A384))))/Calibracion!$C$21-Calibracion!$C$4</f>
        <v/>
      </c>
      <c r="C384" s="21">
        <f>ABS(B384)</f>
        <v/>
      </c>
    </row>
    <row r="385">
      <c r="A385" s="8">
        <f>A384+0.01</f>
        <v/>
      </c>
      <c r="B385" s="21">
        <f>SUMPRODUCT(Calibracion!$C$11:$C$20,1/(1+EXP(-(Calibracion!$E$11:$E$20+A385))))/Calibracion!$C$21-Calibracion!$C$4</f>
        <v/>
      </c>
      <c r="C385" s="21">
        <f>ABS(B385)</f>
        <v/>
      </c>
    </row>
    <row r="386">
      <c r="A386" s="8">
        <f>A385+0.01</f>
        <v/>
      </c>
      <c r="B386" s="21">
        <f>SUMPRODUCT(Calibracion!$C$11:$C$20,1/(1+EXP(-(Calibracion!$E$11:$E$20+A386))))/Calibracion!$C$21-Calibracion!$C$4</f>
        <v/>
      </c>
      <c r="C386" s="21">
        <f>ABS(B386)</f>
        <v/>
      </c>
    </row>
    <row r="387">
      <c r="A387" s="8">
        <f>A386+0.01</f>
        <v/>
      </c>
      <c r="B387" s="21">
        <f>SUMPRODUCT(Calibracion!$C$11:$C$20,1/(1+EXP(-(Calibracion!$E$11:$E$20+A387))))/Calibracion!$C$21-Calibracion!$C$4</f>
        <v/>
      </c>
      <c r="C387" s="21">
        <f>ABS(B387)</f>
        <v/>
      </c>
    </row>
    <row r="388">
      <c r="A388" s="8">
        <f>A387+0.01</f>
        <v/>
      </c>
      <c r="B388" s="21">
        <f>SUMPRODUCT(Calibracion!$C$11:$C$20,1/(1+EXP(-(Calibracion!$E$11:$E$20+A388))))/Calibracion!$C$21-Calibracion!$C$4</f>
        <v/>
      </c>
      <c r="C388" s="21">
        <f>ABS(B388)</f>
        <v/>
      </c>
    </row>
    <row r="389">
      <c r="A389" s="8">
        <f>A388+0.01</f>
        <v/>
      </c>
      <c r="B389" s="21">
        <f>SUMPRODUCT(Calibracion!$C$11:$C$20,1/(1+EXP(-(Calibracion!$E$11:$E$20+A389))))/Calibracion!$C$21-Calibracion!$C$4</f>
        <v/>
      </c>
      <c r="C389" s="21">
        <f>ABS(B389)</f>
        <v/>
      </c>
    </row>
    <row r="390">
      <c r="A390" s="8">
        <f>A389+0.01</f>
        <v/>
      </c>
      <c r="B390" s="21">
        <f>SUMPRODUCT(Calibracion!$C$11:$C$20,1/(1+EXP(-(Calibracion!$E$11:$E$20+A390))))/Calibracion!$C$21-Calibracion!$C$4</f>
        <v/>
      </c>
      <c r="C390" s="21">
        <f>ABS(B390)</f>
        <v/>
      </c>
    </row>
    <row r="391">
      <c r="A391" s="8">
        <f>A390+0.01</f>
        <v/>
      </c>
      <c r="B391" s="21">
        <f>SUMPRODUCT(Calibracion!$C$11:$C$20,1/(1+EXP(-(Calibracion!$E$11:$E$20+A391))))/Calibracion!$C$21-Calibracion!$C$4</f>
        <v/>
      </c>
      <c r="C391" s="21">
        <f>ABS(B391)</f>
        <v/>
      </c>
    </row>
    <row r="392">
      <c r="A392" s="8">
        <f>A391+0.01</f>
        <v/>
      </c>
      <c r="B392" s="21">
        <f>SUMPRODUCT(Calibracion!$C$11:$C$20,1/(1+EXP(-(Calibracion!$E$11:$E$20+A392))))/Calibracion!$C$21-Calibracion!$C$4</f>
        <v/>
      </c>
      <c r="C392" s="21">
        <f>ABS(B392)</f>
        <v/>
      </c>
    </row>
    <row r="393">
      <c r="A393" s="8">
        <f>A392+0.01</f>
        <v/>
      </c>
      <c r="B393" s="21">
        <f>SUMPRODUCT(Calibracion!$C$11:$C$20,1/(1+EXP(-(Calibracion!$E$11:$E$20+A393))))/Calibracion!$C$21-Calibracion!$C$4</f>
        <v/>
      </c>
      <c r="C393" s="21">
        <f>ABS(B393)</f>
        <v/>
      </c>
    </row>
    <row r="394">
      <c r="A394" s="8">
        <f>A393+0.01</f>
        <v/>
      </c>
      <c r="B394" s="21">
        <f>SUMPRODUCT(Calibracion!$C$11:$C$20,1/(1+EXP(-(Calibracion!$E$11:$E$20+A394))))/Calibracion!$C$21-Calibracion!$C$4</f>
        <v/>
      </c>
      <c r="C394" s="21">
        <f>ABS(B394)</f>
        <v/>
      </c>
    </row>
    <row r="395">
      <c r="A395" s="8">
        <f>A394+0.01</f>
        <v/>
      </c>
      <c r="B395" s="21">
        <f>SUMPRODUCT(Calibracion!$C$11:$C$20,1/(1+EXP(-(Calibracion!$E$11:$E$20+A395))))/Calibracion!$C$21-Calibracion!$C$4</f>
        <v/>
      </c>
      <c r="C395" s="21">
        <f>ABS(B395)</f>
        <v/>
      </c>
    </row>
    <row r="396">
      <c r="A396" s="8">
        <f>A395+0.01</f>
        <v/>
      </c>
      <c r="B396" s="21">
        <f>SUMPRODUCT(Calibracion!$C$11:$C$20,1/(1+EXP(-(Calibracion!$E$11:$E$20+A396))))/Calibracion!$C$21-Calibracion!$C$4</f>
        <v/>
      </c>
      <c r="C396" s="21">
        <f>ABS(B396)</f>
        <v/>
      </c>
    </row>
    <row r="397">
      <c r="A397" s="8">
        <f>A396+0.01</f>
        <v/>
      </c>
      <c r="B397" s="21">
        <f>SUMPRODUCT(Calibracion!$C$11:$C$20,1/(1+EXP(-(Calibracion!$E$11:$E$20+A397))))/Calibracion!$C$21-Calibracion!$C$4</f>
        <v/>
      </c>
      <c r="C397" s="21">
        <f>ABS(B397)</f>
        <v/>
      </c>
    </row>
    <row r="398">
      <c r="A398" s="8">
        <f>A397+0.01</f>
        <v/>
      </c>
      <c r="B398" s="21">
        <f>SUMPRODUCT(Calibracion!$C$11:$C$20,1/(1+EXP(-(Calibracion!$E$11:$E$20+A398))))/Calibracion!$C$21-Calibracion!$C$4</f>
        <v/>
      </c>
      <c r="C398" s="21">
        <f>ABS(B398)</f>
        <v/>
      </c>
    </row>
    <row r="399">
      <c r="A399" s="8">
        <f>A398+0.01</f>
        <v/>
      </c>
      <c r="B399" s="21">
        <f>SUMPRODUCT(Calibracion!$C$11:$C$20,1/(1+EXP(-(Calibracion!$E$11:$E$20+A399))))/Calibracion!$C$21-Calibracion!$C$4</f>
        <v/>
      </c>
      <c r="C399" s="21">
        <f>ABS(B399)</f>
        <v/>
      </c>
    </row>
    <row r="400">
      <c r="A400" s="8">
        <f>A399+0.01</f>
        <v/>
      </c>
      <c r="B400" s="21">
        <f>SUMPRODUCT(Calibracion!$C$11:$C$20,1/(1+EXP(-(Calibracion!$E$11:$E$20+A400))))/Calibracion!$C$21-Calibracion!$C$4</f>
        <v/>
      </c>
      <c r="C400" s="21">
        <f>ABS(B400)</f>
        <v/>
      </c>
    </row>
    <row r="401">
      <c r="A401" s="8">
        <f>A400+0.01</f>
        <v/>
      </c>
      <c r="B401" s="21">
        <f>SUMPRODUCT(Calibracion!$C$11:$C$20,1/(1+EXP(-(Calibracion!$E$11:$E$20+A401))))/Calibracion!$C$21-Calibracion!$C$4</f>
        <v/>
      </c>
      <c r="C401" s="21">
        <f>ABS(B401)</f>
        <v/>
      </c>
    </row>
    <row r="402">
      <c r="A402" s="8">
        <f>A401+0.01</f>
        <v/>
      </c>
      <c r="B402" s="21">
        <f>SUMPRODUCT(Calibracion!$C$11:$C$20,1/(1+EXP(-(Calibracion!$E$11:$E$20+A402))))/Calibracion!$C$21-Calibracion!$C$4</f>
        <v/>
      </c>
      <c r="C402" s="21">
        <f>ABS(B402)</f>
        <v/>
      </c>
    </row>
    <row r="403">
      <c r="A403" s="8">
        <f>A402+0.01</f>
        <v/>
      </c>
      <c r="B403" s="21">
        <f>SUMPRODUCT(Calibracion!$C$11:$C$20,1/(1+EXP(-(Calibracion!$E$11:$E$20+A403))))/Calibracion!$C$21-Calibracion!$C$4</f>
        <v/>
      </c>
      <c r="C403" s="21">
        <f>ABS(B403)</f>
        <v/>
      </c>
    </row>
    <row r="404">
      <c r="A404" s="8">
        <f>A403+0.01</f>
        <v/>
      </c>
      <c r="B404" s="21">
        <f>SUMPRODUCT(Calibracion!$C$11:$C$20,1/(1+EXP(-(Calibracion!$E$11:$E$20+A404))))/Calibracion!$C$21-Calibracion!$C$4</f>
        <v/>
      </c>
      <c r="C404" s="21">
        <f>ABS(B404)</f>
        <v/>
      </c>
    </row>
    <row r="405">
      <c r="A405" s="8">
        <f>A404+0.01</f>
        <v/>
      </c>
      <c r="B405" s="21">
        <f>SUMPRODUCT(Calibracion!$C$11:$C$20,1/(1+EXP(-(Calibracion!$E$11:$E$20+A405))))/Calibracion!$C$21-Calibracion!$C$4</f>
        <v/>
      </c>
      <c r="C405" s="21">
        <f>ABS(B405)</f>
        <v/>
      </c>
    </row>
    <row r="406">
      <c r="A406" s="8">
        <f>A405+0.01</f>
        <v/>
      </c>
      <c r="B406" s="21">
        <f>SUMPRODUCT(Calibracion!$C$11:$C$20,1/(1+EXP(-(Calibracion!$E$11:$E$20+A406))))/Calibracion!$C$21-Calibracion!$C$4</f>
        <v/>
      </c>
      <c r="C406" s="21">
        <f>ABS(B406)</f>
        <v/>
      </c>
    </row>
    <row r="407">
      <c r="A407" s="8">
        <f>A406+0.01</f>
        <v/>
      </c>
      <c r="B407" s="21">
        <f>SUMPRODUCT(Calibracion!$C$11:$C$20,1/(1+EXP(-(Calibracion!$E$11:$E$20+A407))))/Calibracion!$C$21-Calibracion!$C$4</f>
        <v/>
      </c>
      <c r="C407" s="21">
        <f>ABS(B407)</f>
        <v/>
      </c>
    </row>
    <row r="408">
      <c r="A408" s="8">
        <f>A407+0.01</f>
        <v/>
      </c>
      <c r="B408" s="21">
        <f>SUMPRODUCT(Calibracion!$C$11:$C$20,1/(1+EXP(-(Calibracion!$E$11:$E$20+A408))))/Calibracion!$C$21-Calibracion!$C$4</f>
        <v/>
      </c>
      <c r="C408" s="21">
        <f>ABS(B408)</f>
        <v/>
      </c>
    </row>
    <row r="409">
      <c r="A409" s="8">
        <f>A408+0.01</f>
        <v/>
      </c>
      <c r="B409" s="21">
        <f>SUMPRODUCT(Calibracion!$C$11:$C$20,1/(1+EXP(-(Calibracion!$E$11:$E$20+A409))))/Calibracion!$C$21-Calibracion!$C$4</f>
        <v/>
      </c>
      <c r="C409" s="21">
        <f>ABS(B409)</f>
        <v/>
      </c>
    </row>
    <row r="410">
      <c r="A410" s="8">
        <f>A409+0.01</f>
        <v/>
      </c>
      <c r="B410" s="21">
        <f>SUMPRODUCT(Calibracion!$C$11:$C$20,1/(1+EXP(-(Calibracion!$E$11:$E$20+A410))))/Calibracion!$C$21-Calibracion!$C$4</f>
        <v/>
      </c>
      <c r="C410" s="21">
        <f>ABS(B410)</f>
        <v/>
      </c>
    </row>
    <row r="411">
      <c r="A411" s="8">
        <f>A410+0.01</f>
        <v/>
      </c>
      <c r="B411" s="21">
        <f>SUMPRODUCT(Calibracion!$C$11:$C$20,1/(1+EXP(-(Calibracion!$E$11:$E$20+A411))))/Calibracion!$C$21-Calibracion!$C$4</f>
        <v/>
      </c>
      <c r="C411" s="21">
        <f>ABS(B411)</f>
        <v/>
      </c>
    </row>
    <row r="412">
      <c r="A412" s="8">
        <f>A411+0.01</f>
        <v/>
      </c>
      <c r="B412" s="21">
        <f>SUMPRODUCT(Calibracion!$C$11:$C$20,1/(1+EXP(-(Calibracion!$E$11:$E$20+A412))))/Calibracion!$C$21-Calibracion!$C$4</f>
        <v/>
      </c>
      <c r="C412" s="21">
        <f>ABS(B412)</f>
        <v/>
      </c>
    </row>
    <row r="413">
      <c r="A413" s="8">
        <f>A412+0.01</f>
        <v/>
      </c>
      <c r="B413" s="21">
        <f>SUMPRODUCT(Calibracion!$C$11:$C$20,1/(1+EXP(-(Calibracion!$E$11:$E$20+A413))))/Calibracion!$C$21-Calibracion!$C$4</f>
        <v/>
      </c>
      <c r="C413" s="21">
        <f>ABS(B413)</f>
        <v/>
      </c>
    </row>
    <row r="414">
      <c r="A414" s="8">
        <f>A413+0.01</f>
        <v/>
      </c>
      <c r="B414" s="21">
        <f>SUMPRODUCT(Calibracion!$C$11:$C$20,1/(1+EXP(-(Calibracion!$E$11:$E$20+A414))))/Calibracion!$C$21-Calibracion!$C$4</f>
        <v/>
      </c>
      <c r="C414" s="21">
        <f>ABS(B414)</f>
        <v/>
      </c>
    </row>
    <row r="415">
      <c r="A415" s="8">
        <f>A414+0.01</f>
        <v/>
      </c>
      <c r="B415" s="21">
        <f>SUMPRODUCT(Calibracion!$C$11:$C$20,1/(1+EXP(-(Calibracion!$E$11:$E$20+A415))))/Calibracion!$C$21-Calibracion!$C$4</f>
        <v/>
      </c>
      <c r="C415" s="21">
        <f>ABS(B415)</f>
        <v/>
      </c>
    </row>
    <row r="416">
      <c r="A416" s="8">
        <f>A415+0.01</f>
        <v/>
      </c>
      <c r="B416" s="21">
        <f>SUMPRODUCT(Calibracion!$C$11:$C$20,1/(1+EXP(-(Calibracion!$E$11:$E$20+A416))))/Calibracion!$C$21-Calibracion!$C$4</f>
        <v/>
      </c>
      <c r="C416" s="21">
        <f>ABS(B416)</f>
        <v/>
      </c>
    </row>
    <row r="417">
      <c r="A417" s="8">
        <f>A416+0.01</f>
        <v/>
      </c>
      <c r="B417" s="21">
        <f>SUMPRODUCT(Calibracion!$C$11:$C$20,1/(1+EXP(-(Calibracion!$E$11:$E$20+A417))))/Calibracion!$C$21-Calibracion!$C$4</f>
        <v/>
      </c>
      <c r="C417" s="21">
        <f>ABS(B417)</f>
        <v/>
      </c>
    </row>
    <row r="418">
      <c r="A418" s="8">
        <f>A417+0.01</f>
        <v/>
      </c>
      <c r="B418" s="21">
        <f>SUMPRODUCT(Calibracion!$C$11:$C$20,1/(1+EXP(-(Calibracion!$E$11:$E$20+A418))))/Calibracion!$C$21-Calibracion!$C$4</f>
        <v/>
      </c>
      <c r="C418" s="21">
        <f>ABS(B418)</f>
        <v/>
      </c>
    </row>
    <row r="419">
      <c r="A419" s="8">
        <f>A418+0.01</f>
        <v/>
      </c>
      <c r="B419" s="21">
        <f>SUMPRODUCT(Calibracion!$C$11:$C$20,1/(1+EXP(-(Calibracion!$E$11:$E$20+A419))))/Calibracion!$C$21-Calibracion!$C$4</f>
        <v/>
      </c>
      <c r="C419" s="21">
        <f>ABS(B419)</f>
        <v/>
      </c>
    </row>
    <row r="420">
      <c r="A420" s="8">
        <f>A419+0.01</f>
        <v/>
      </c>
      <c r="B420" s="21">
        <f>SUMPRODUCT(Calibracion!$C$11:$C$20,1/(1+EXP(-(Calibracion!$E$11:$E$20+A420))))/Calibracion!$C$21-Calibracion!$C$4</f>
        <v/>
      </c>
      <c r="C420" s="21">
        <f>ABS(B420)</f>
        <v/>
      </c>
    </row>
    <row r="421">
      <c r="A421" s="8">
        <f>A420+0.01</f>
        <v/>
      </c>
      <c r="B421" s="21">
        <f>SUMPRODUCT(Calibracion!$C$11:$C$20,1/(1+EXP(-(Calibracion!$E$11:$E$20+A421))))/Calibracion!$C$21-Calibracion!$C$4</f>
        <v/>
      </c>
      <c r="C421" s="21">
        <f>ABS(B421)</f>
        <v/>
      </c>
    </row>
    <row r="422">
      <c r="A422" s="8">
        <f>A421+0.01</f>
        <v/>
      </c>
      <c r="B422" s="21">
        <f>SUMPRODUCT(Calibracion!$C$11:$C$20,1/(1+EXP(-(Calibracion!$E$11:$E$20+A422))))/Calibracion!$C$21-Calibracion!$C$4</f>
        <v/>
      </c>
      <c r="C422" s="21">
        <f>ABS(B422)</f>
        <v/>
      </c>
    </row>
    <row r="423">
      <c r="A423" s="8">
        <f>A422+0.01</f>
        <v/>
      </c>
      <c r="B423" s="21">
        <f>SUMPRODUCT(Calibracion!$C$11:$C$20,1/(1+EXP(-(Calibracion!$E$11:$E$20+A423))))/Calibracion!$C$21-Calibracion!$C$4</f>
        <v/>
      </c>
      <c r="C423" s="21">
        <f>ABS(B423)</f>
        <v/>
      </c>
    </row>
    <row r="424">
      <c r="A424" s="8">
        <f>A423+0.01</f>
        <v/>
      </c>
      <c r="B424" s="21">
        <f>SUMPRODUCT(Calibracion!$C$11:$C$20,1/(1+EXP(-(Calibracion!$E$11:$E$20+A424))))/Calibracion!$C$21-Calibracion!$C$4</f>
        <v/>
      </c>
      <c r="C424" s="21">
        <f>ABS(B424)</f>
        <v/>
      </c>
    </row>
    <row r="425">
      <c r="A425" s="8">
        <f>A424+0.01</f>
        <v/>
      </c>
      <c r="B425" s="21">
        <f>SUMPRODUCT(Calibracion!$C$11:$C$20,1/(1+EXP(-(Calibracion!$E$11:$E$20+A425))))/Calibracion!$C$21-Calibracion!$C$4</f>
        <v/>
      </c>
      <c r="C425" s="21">
        <f>ABS(B425)</f>
        <v/>
      </c>
    </row>
    <row r="426">
      <c r="A426" s="8">
        <f>A425+0.01</f>
        <v/>
      </c>
      <c r="B426" s="21">
        <f>SUMPRODUCT(Calibracion!$C$11:$C$20,1/(1+EXP(-(Calibracion!$E$11:$E$20+A426))))/Calibracion!$C$21-Calibracion!$C$4</f>
        <v/>
      </c>
      <c r="C426" s="21">
        <f>ABS(B426)</f>
        <v/>
      </c>
    </row>
    <row r="427">
      <c r="A427" s="8">
        <f>A426+0.01</f>
        <v/>
      </c>
      <c r="B427" s="21">
        <f>SUMPRODUCT(Calibracion!$C$11:$C$20,1/(1+EXP(-(Calibracion!$E$11:$E$20+A427))))/Calibracion!$C$21-Calibracion!$C$4</f>
        <v/>
      </c>
      <c r="C427" s="21">
        <f>ABS(B427)</f>
        <v/>
      </c>
    </row>
    <row r="428">
      <c r="A428" s="8">
        <f>A427+0.01</f>
        <v/>
      </c>
      <c r="B428" s="21">
        <f>SUMPRODUCT(Calibracion!$C$11:$C$20,1/(1+EXP(-(Calibracion!$E$11:$E$20+A428))))/Calibracion!$C$21-Calibracion!$C$4</f>
        <v/>
      </c>
      <c r="C428" s="21">
        <f>ABS(B428)</f>
        <v/>
      </c>
    </row>
    <row r="429">
      <c r="A429" s="8">
        <f>A428+0.01</f>
        <v/>
      </c>
      <c r="B429" s="21">
        <f>SUMPRODUCT(Calibracion!$C$11:$C$20,1/(1+EXP(-(Calibracion!$E$11:$E$20+A429))))/Calibracion!$C$21-Calibracion!$C$4</f>
        <v/>
      </c>
      <c r="C429" s="21">
        <f>ABS(B429)</f>
        <v/>
      </c>
    </row>
    <row r="430">
      <c r="A430" s="8">
        <f>A429+0.01</f>
        <v/>
      </c>
      <c r="B430" s="21">
        <f>SUMPRODUCT(Calibracion!$C$11:$C$20,1/(1+EXP(-(Calibracion!$E$11:$E$20+A430))))/Calibracion!$C$21-Calibracion!$C$4</f>
        <v/>
      </c>
      <c r="C430" s="21">
        <f>ABS(B430)</f>
        <v/>
      </c>
    </row>
    <row r="431">
      <c r="A431" s="8">
        <f>A430+0.01</f>
        <v/>
      </c>
      <c r="B431" s="21">
        <f>SUMPRODUCT(Calibracion!$C$11:$C$20,1/(1+EXP(-(Calibracion!$E$11:$E$20+A431))))/Calibracion!$C$21-Calibracion!$C$4</f>
        <v/>
      </c>
      <c r="C431" s="21">
        <f>ABS(B431)</f>
        <v/>
      </c>
    </row>
    <row r="432">
      <c r="A432" s="8">
        <f>A431+0.01</f>
        <v/>
      </c>
      <c r="B432" s="21">
        <f>SUMPRODUCT(Calibracion!$C$11:$C$20,1/(1+EXP(-(Calibracion!$E$11:$E$20+A432))))/Calibracion!$C$21-Calibracion!$C$4</f>
        <v/>
      </c>
      <c r="C432" s="21">
        <f>ABS(B432)</f>
        <v/>
      </c>
    </row>
    <row r="433">
      <c r="A433" s="8">
        <f>A432+0.01</f>
        <v/>
      </c>
      <c r="B433" s="21">
        <f>SUMPRODUCT(Calibracion!$C$11:$C$20,1/(1+EXP(-(Calibracion!$E$11:$E$20+A433))))/Calibracion!$C$21-Calibracion!$C$4</f>
        <v/>
      </c>
      <c r="C433" s="21">
        <f>ABS(B433)</f>
        <v/>
      </c>
    </row>
    <row r="434">
      <c r="A434" s="8">
        <f>A433+0.01</f>
        <v/>
      </c>
      <c r="B434" s="21">
        <f>SUMPRODUCT(Calibracion!$C$11:$C$20,1/(1+EXP(-(Calibracion!$E$11:$E$20+A434))))/Calibracion!$C$21-Calibracion!$C$4</f>
        <v/>
      </c>
      <c r="C434" s="21">
        <f>ABS(B434)</f>
        <v/>
      </c>
    </row>
    <row r="435">
      <c r="A435" s="8">
        <f>A434+0.01</f>
        <v/>
      </c>
      <c r="B435" s="21">
        <f>SUMPRODUCT(Calibracion!$C$11:$C$20,1/(1+EXP(-(Calibracion!$E$11:$E$20+A435))))/Calibracion!$C$21-Calibracion!$C$4</f>
        <v/>
      </c>
      <c r="C435" s="21">
        <f>ABS(B435)</f>
        <v/>
      </c>
    </row>
    <row r="436">
      <c r="A436" s="8">
        <f>A435+0.01</f>
        <v/>
      </c>
      <c r="B436" s="21">
        <f>SUMPRODUCT(Calibracion!$C$11:$C$20,1/(1+EXP(-(Calibracion!$E$11:$E$20+A436))))/Calibracion!$C$21-Calibracion!$C$4</f>
        <v/>
      </c>
      <c r="C436" s="21">
        <f>ABS(B436)</f>
        <v/>
      </c>
    </row>
    <row r="437">
      <c r="A437" s="8">
        <f>A436+0.01</f>
        <v/>
      </c>
      <c r="B437" s="21">
        <f>SUMPRODUCT(Calibracion!$C$11:$C$20,1/(1+EXP(-(Calibracion!$E$11:$E$20+A437))))/Calibracion!$C$21-Calibracion!$C$4</f>
        <v/>
      </c>
      <c r="C437" s="21">
        <f>ABS(B437)</f>
        <v/>
      </c>
    </row>
    <row r="438">
      <c r="A438" s="8">
        <f>A437+0.01</f>
        <v/>
      </c>
      <c r="B438" s="21">
        <f>SUMPRODUCT(Calibracion!$C$11:$C$20,1/(1+EXP(-(Calibracion!$E$11:$E$20+A438))))/Calibracion!$C$21-Calibracion!$C$4</f>
        <v/>
      </c>
      <c r="C438" s="21">
        <f>ABS(B438)</f>
        <v/>
      </c>
    </row>
    <row r="439">
      <c r="A439" s="8">
        <f>A438+0.01</f>
        <v/>
      </c>
      <c r="B439" s="21">
        <f>SUMPRODUCT(Calibracion!$C$11:$C$20,1/(1+EXP(-(Calibracion!$E$11:$E$20+A439))))/Calibracion!$C$21-Calibracion!$C$4</f>
        <v/>
      </c>
      <c r="C439" s="21">
        <f>ABS(B439)</f>
        <v/>
      </c>
    </row>
    <row r="440">
      <c r="A440" s="8">
        <f>A439+0.01</f>
        <v/>
      </c>
      <c r="B440" s="21">
        <f>SUMPRODUCT(Calibracion!$C$11:$C$20,1/(1+EXP(-(Calibracion!$E$11:$E$20+A440))))/Calibracion!$C$21-Calibracion!$C$4</f>
        <v/>
      </c>
      <c r="C440" s="21">
        <f>ABS(B440)</f>
        <v/>
      </c>
    </row>
    <row r="441">
      <c r="A441" s="8">
        <f>A440+0.01</f>
        <v/>
      </c>
      <c r="B441" s="21">
        <f>SUMPRODUCT(Calibracion!$C$11:$C$20,1/(1+EXP(-(Calibracion!$E$11:$E$20+A441))))/Calibracion!$C$21-Calibracion!$C$4</f>
        <v/>
      </c>
      <c r="C441" s="21">
        <f>ABS(B441)</f>
        <v/>
      </c>
    </row>
    <row r="442">
      <c r="A442" s="8">
        <f>A441+0.01</f>
        <v/>
      </c>
      <c r="B442" s="21">
        <f>SUMPRODUCT(Calibracion!$C$11:$C$20,1/(1+EXP(-(Calibracion!$E$11:$E$20+A442))))/Calibracion!$C$21-Calibracion!$C$4</f>
        <v/>
      </c>
      <c r="C442" s="21">
        <f>ABS(B442)</f>
        <v/>
      </c>
    </row>
    <row r="443">
      <c r="A443" s="8">
        <f>A442+0.01</f>
        <v/>
      </c>
      <c r="B443" s="21">
        <f>SUMPRODUCT(Calibracion!$C$11:$C$20,1/(1+EXP(-(Calibracion!$E$11:$E$20+A443))))/Calibracion!$C$21-Calibracion!$C$4</f>
        <v/>
      </c>
      <c r="C443" s="21">
        <f>ABS(B443)</f>
        <v/>
      </c>
    </row>
    <row r="444">
      <c r="A444" s="8">
        <f>A443+0.01</f>
        <v/>
      </c>
      <c r="B444" s="21">
        <f>SUMPRODUCT(Calibracion!$C$11:$C$20,1/(1+EXP(-(Calibracion!$E$11:$E$20+A444))))/Calibracion!$C$21-Calibracion!$C$4</f>
        <v/>
      </c>
      <c r="C444" s="21">
        <f>ABS(B444)</f>
        <v/>
      </c>
    </row>
    <row r="445">
      <c r="A445" s="8">
        <f>A444+0.01</f>
        <v/>
      </c>
      <c r="B445" s="21">
        <f>SUMPRODUCT(Calibracion!$C$11:$C$20,1/(1+EXP(-(Calibracion!$E$11:$E$20+A445))))/Calibracion!$C$21-Calibracion!$C$4</f>
        <v/>
      </c>
      <c r="C445" s="21">
        <f>ABS(B445)</f>
        <v/>
      </c>
    </row>
    <row r="446">
      <c r="A446" s="8">
        <f>A445+0.01</f>
        <v/>
      </c>
      <c r="B446" s="21">
        <f>SUMPRODUCT(Calibracion!$C$11:$C$20,1/(1+EXP(-(Calibracion!$E$11:$E$20+A446))))/Calibracion!$C$21-Calibracion!$C$4</f>
        <v/>
      </c>
      <c r="C446" s="21">
        <f>ABS(B446)</f>
        <v/>
      </c>
    </row>
    <row r="447">
      <c r="A447" s="8">
        <f>A446+0.01</f>
        <v/>
      </c>
      <c r="B447" s="21">
        <f>SUMPRODUCT(Calibracion!$C$11:$C$20,1/(1+EXP(-(Calibracion!$E$11:$E$20+A447))))/Calibracion!$C$21-Calibracion!$C$4</f>
        <v/>
      </c>
      <c r="C447" s="21">
        <f>ABS(B447)</f>
        <v/>
      </c>
    </row>
    <row r="448">
      <c r="A448" s="8">
        <f>A447+0.01</f>
        <v/>
      </c>
      <c r="B448" s="21">
        <f>SUMPRODUCT(Calibracion!$C$11:$C$20,1/(1+EXP(-(Calibracion!$E$11:$E$20+A448))))/Calibracion!$C$21-Calibracion!$C$4</f>
        <v/>
      </c>
      <c r="C448" s="21">
        <f>ABS(B448)</f>
        <v/>
      </c>
    </row>
    <row r="449">
      <c r="A449" s="8">
        <f>A448+0.01</f>
        <v/>
      </c>
      <c r="B449" s="21">
        <f>SUMPRODUCT(Calibracion!$C$11:$C$20,1/(1+EXP(-(Calibracion!$E$11:$E$20+A449))))/Calibracion!$C$21-Calibracion!$C$4</f>
        <v/>
      </c>
      <c r="C449" s="21">
        <f>ABS(B449)</f>
        <v/>
      </c>
    </row>
    <row r="450">
      <c r="A450" s="8">
        <f>A449+0.01</f>
        <v/>
      </c>
      <c r="B450" s="21">
        <f>SUMPRODUCT(Calibracion!$C$11:$C$20,1/(1+EXP(-(Calibracion!$E$11:$E$20+A450))))/Calibracion!$C$21-Calibracion!$C$4</f>
        <v/>
      </c>
      <c r="C450" s="21">
        <f>ABS(B450)</f>
        <v/>
      </c>
    </row>
    <row r="451">
      <c r="A451" s="8">
        <f>A450+0.01</f>
        <v/>
      </c>
      <c r="B451" s="21">
        <f>SUMPRODUCT(Calibracion!$C$11:$C$20,1/(1+EXP(-(Calibracion!$E$11:$E$20+A451))))/Calibracion!$C$21-Calibracion!$C$4</f>
        <v/>
      </c>
      <c r="C451" s="21">
        <f>ABS(B451)</f>
        <v/>
      </c>
    </row>
    <row r="452">
      <c r="A452" s="8">
        <f>A451+0.01</f>
        <v/>
      </c>
      <c r="B452" s="21">
        <f>SUMPRODUCT(Calibracion!$C$11:$C$20,1/(1+EXP(-(Calibracion!$E$11:$E$20+A452))))/Calibracion!$C$21-Calibracion!$C$4</f>
        <v/>
      </c>
      <c r="C452" s="21">
        <f>ABS(B452)</f>
        <v/>
      </c>
    </row>
    <row r="453">
      <c r="A453" s="8">
        <f>A452+0.01</f>
        <v/>
      </c>
      <c r="B453" s="21">
        <f>SUMPRODUCT(Calibracion!$C$11:$C$20,1/(1+EXP(-(Calibracion!$E$11:$E$20+A453))))/Calibracion!$C$21-Calibracion!$C$4</f>
        <v/>
      </c>
      <c r="C453" s="21">
        <f>ABS(B453)</f>
        <v/>
      </c>
    </row>
    <row r="454">
      <c r="A454" s="8">
        <f>A453+0.01</f>
        <v/>
      </c>
      <c r="B454" s="21">
        <f>SUMPRODUCT(Calibracion!$C$11:$C$20,1/(1+EXP(-(Calibracion!$E$11:$E$20+A454))))/Calibracion!$C$21-Calibracion!$C$4</f>
        <v/>
      </c>
      <c r="C454" s="21">
        <f>ABS(B454)</f>
        <v/>
      </c>
    </row>
    <row r="455">
      <c r="A455" s="8">
        <f>A454+0.01</f>
        <v/>
      </c>
      <c r="B455" s="21">
        <f>SUMPRODUCT(Calibracion!$C$11:$C$20,1/(1+EXP(-(Calibracion!$E$11:$E$20+A455))))/Calibracion!$C$21-Calibracion!$C$4</f>
        <v/>
      </c>
      <c r="C455" s="21">
        <f>ABS(B455)</f>
        <v/>
      </c>
    </row>
    <row r="456">
      <c r="A456" s="8">
        <f>A455+0.01</f>
        <v/>
      </c>
      <c r="B456" s="21">
        <f>SUMPRODUCT(Calibracion!$C$11:$C$20,1/(1+EXP(-(Calibracion!$E$11:$E$20+A456))))/Calibracion!$C$21-Calibracion!$C$4</f>
        <v/>
      </c>
      <c r="C456" s="21">
        <f>ABS(B456)</f>
        <v/>
      </c>
    </row>
    <row r="457">
      <c r="A457" s="8">
        <f>A456+0.01</f>
        <v/>
      </c>
      <c r="B457" s="21">
        <f>SUMPRODUCT(Calibracion!$C$11:$C$20,1/(1+EXP(-(Calibracion!$E$11:$E$20+A457))))/Calibracion!$C$21-Calibracion!$C$4</f>
        <v/>
      </c>
      <c r="C457" s="21">
        <f>ABS(B457)</f>
        <v/>
      </c>
    </row>
    <row r="458">
      <c r="A458" s="8">
        <f>A457+0.01</f>
        <v/>
      </c>
      <c r="B458" s="21">
        <f>SUMPRODUCT(Calibracion!$C$11:$C$20,1/(1+EXP(-(Calibracion!$E$11:$E$20+A458))))/Calibracion!$C$21-Calibracion!$C$4</f>
        <v/>
      </c>
      <c r="C458" s="21">
        <f>ABS(B458)</f>
        <v/>
      </c>
    </row>
    <row r="459">
      <c r="A459" s="8">
        <f>A458+0.01</f>
        <v/>
      </c>
      <c r="B459" s="21">
        <f>SUMPRODUCT(Calibracion!$C$11:$C$20,1/(1+EXP(-(Calibracion!$E$11:$E$20+A459))))/Calibracion!$C$21-Calibracion!$C$4</f>
        <v/>
      </c>
      <c r="C459" s="21">
        <f>ABS(B459)</f>
        <v/>
      </c>
    </row>
    <row r="460">
      <c r="A460" s="8">
        <f>A459+0.01</f>
        <v/>
      </c>
      <c r="B460" s="21">
        <f>SUMPRODUCT(Calibracion!$C$11:$C$20,1/(1+EXP(-(Calibracion!$E$11:$E$20+A460))))/Calibracion!$C$21-Calibracion!$C$4</f>
        <v/>
      </c>
      <c r="C460" s="21">
        <f>ABS(B460)</f>
        <v/>
      </c>
    </row>
    <row r="461">
      <c r="A461" s="8">
        <f>A460+0.01</f>
        <v/>
      </c>
      <c r="B461" s="21">
        <f>SUMPRODUCT(Calibracion!$C$11:$C$20,1/(1+EXP(-(Calibracion!$E$11:$E$20+A461))))/Calibracion!$C$21-Calibracion!$C$4</f>
        <v/>
      </c>
      <c r="C461" s="21">
        <f>ABS(B461)</f>
        <v/>
      </c>
    </row>
    <row r="462">
      <c r="A462" s="8">
        <f>A461+0.01</f>
        <v/>
      </c>
      <c r="B462" s="21">
        <f>SUMPRODUCT(Calibracion!$C$11:$C$20,1/(1+EXP(-(Calibracion!$E$11:$E$20+A462))))/Calibracion!$C$21-Calibracion!$C$4</f>
        <v/>
      </c>
      <c r="C462" s="21">
        <f>ABS(B462)</f>
        <v/>
      </c>
    </row>
    <row r="463">
      <c r="A463" s="8">
        <f>A462+0.01</f>
        <v/>
      </c>
      <c r="B463" s="21">
        <f>SUMPRODUCT(Calibracion!$C$11:$C$20,1/(1+EXP(-(Calibracion!$E$11:$E$20+A463))))/Calibracion!$C$21-Calibracion!$C$4</f>
        <v/>
      </c>
      <c r="C463" s="21">
        <f>ABS(B463)</f>
        <v/>
      </c>
    </row>
    <row r="464">
      <c r="A464" s="8">
        <f>A463+0.01</f>
        <v/>
      </c>
      <c r="B464" s="21">
        <f>SUMPRODUCT(Calibracion!$C$11:$C$20,1/(1+EXP(-(Calibracion!$E$11:$E$20+A464))))/Calibracion!$C$21-Calibracion!$C$4</f>
        <v/>
      </c>
      <c r="C464" s="21">
        <f>ABS(B464)</f>
        <v/>
      </c>
    </row>
    <row r="465">
      <c r="A465" s="8">
        <f>A464+0.01</f>
        <v/>
      </c>
      <c r="B465" s="21">
        <f>SUMPRODUCT(Calibracion!$C$11:$C$20,1/(1+EXP(-(Calibracion!$E$11:$E$20+A465))))/Calibracion!$C$21-Calibracion!$C$4</f>
        <v/>
      </c>
      <c r="C465" s="21">
        <f>ABS(B465)</f>
        <v/>
      </c>
    </row>
    <row r="466">
      <c r="A466" s="8">
        <f>A465+0.01</f>
        <v/>
      </c>
      <c r="B466" s="21">
        <f>SUMPRODUCT(Calibracion!$C$11:$C$20,1/(1+EXP(-(Calibracion!$E$11:$E$20+A466))))/Calibracion!$C$21-Calibracion!$C$4</f>
        <v/>
      </c>
      <c r="C466" s="21">
        <f>ABS(B466)</f>
        <v/>
      </c>
    </row>
    <row r="467">
      <c r="A467" s="8">
        <f>A466+0.01</f>
        <v/>
      </c>
      <c r="B467" s="21">
        <f>SUMPRODUCT(Calibracion!$C$11:$C$20,1/(1+EXP(-(Calibracion!$E$11:$E$20+A467))))/Calibracion!$C$21-Calibracion!$C$4</f>
        <v/>
      </c>
      <c r="C467" s="21">
        <f>ABS(B467)</f>
        <v/>
      </c>
    </row>
    <row r="468">
      <c r="A468" s="8">
        <f>A467+0.01</f>
        <v/>
      </c>
      <c r="B468" s="21">
        <f>SUMPRODUCT(Calibracion!$C$11:$C$20,1/(1+EXP(-(Calibracion!$E$11:$E$20+A468))))/Calibracion!$C$21-Calibracion!$C$4</f>
        <v/>
      </c>
      <c r="C468" s="21">
        <f>ABS(B468)</f>
        <v/>
      </c>
    </row>
    <row r="469">
      <c r="A469" s="8">
        <f>A468+0.01</f>
        <v/>
      </c>
      <c r="B469" s="21">
        <f>SUMPRODUCT(Calibracion!$C$11:$C$20,1/(1+EXP(-(Calibracion!$E$11:$E$20+A469))))/Calibracion!$C$21-Calibracion!$C$4</f>
        <v/>
      </c>
      <c r="C469" s="21">
        <f>ABS(B469)</f>
        <v/>
      </c>
    </row>
    <row r="470">
      <c r="A470" s="8">
        <f>A469+0.01</f>
        <v/>
      </c>
      <c r="B470" s="21">
        <f>SUMPRODUCT(Calibracion!$C$11:$C$20,1/(1+EXP(-(Calibracion!$E$11:$E$20+A470))))/Calibracion!$C$21-Calibracion!$C$4</f>
        <v/>
      </c>
      <c r="C470" s="21">
        <f>ABS(B470)</f>
        <v/>
      </c>
    </row>
    <row r="471">
      <c r="A471" s="8">
        <f>A470+0.01</f>
        <v/>
      </c>
      <c r="B471" s="21">
        <f>SUMPRODUCT(Calibracion!$C$11:$C$20,1/(1+EXP(-(Calibracion!$E$11:$E$20+A471))))/Calibracion!$C$21-Calibracion!$C$4</f>
        <v/>
      </c>
      <c r="C471" s="21">
        <f>ABS(B471)</f>
        <v/>
      </c>
    </row>
    <row r="472">
      <c r="A472" s="8">
        <f>A471+0.01</f>
        <v/>
      </c>
      <c r="B472" s="21">
        <f>SUMPRODUCT(Calibracion!$C$11:$C$20,1/(1+EXP(-(Calibracion!$E$11:$E$20+A472))))/Calibracion!$C$21-Calibracion!$C$4</f>
        <v/>
      </c>
      <c r="C472" s="21">
        <f>ABS(B472)</f>
        <v/>
      </c>
    </row>
    <row r="473">
      <c r="A473" s="8">
        <f>A472+0.01</f>
        <v/>
      </c>
      <c r="B473" s="21">
        <f>SUMPRODUCT(Calibracion!$C$11:$C$20,1/(1+EXP(-(Calibracion!$E$11:$E$20+A473))))/Calibracion!$C$21-Calibracion!$C$4</f>
        <v/>
      </c>
      <c r="C473" s="21">
        <f>ABS(B473)</f>
        <v/>
      </c>
    </row>
    <row r="474">
      <c r="A474" s="8">
        <f>A473+0.01</f>
        <v/>
      </c>
      <c r="B474" s="21">
        <f>SUMPRODUCT(Calibracion!$C$11:$C$20,1/(1+EXP(-(Calibracion!$E$11:$E$20+A474))))/Calibracion!$C$21-Calibracion!$C$4</f>
        <v/>
      </c>
      <c r="C474" s="21">
        <f>ABS(B474)</f>
        <v/>
      </c>
    </row>
    <row r="475">
      <c r="A475" s="8">
        <f>A474+0.01</f>
        <v/>
      </c>
      <c r="B475" s="21">
        <f>SUMPRODUCT(Calibracion!$C$11:$C$20,1/(1+EXP(-(Calibracion!$E$11:$E$20+A475))))/Calibracion!$C$21-Calibracion!$C$4</f>
        <v/>
      </c>
      <c r="C475" s="21">
        <f>ABS(B475)</f>
        <v/>
      </c>
    </row>
    <row r="476">
      <c r="A476" s="8">
        <f>A475+0.01</f>
        <v/>
      </c>
      <c r="B476" s="21">
        <f>SUMPRODUCT(Calibracion!$C$11:$C$20,1/(1+EXP(-(Calibracion!$E$11:$E$20+A476))))/Calibracion!$C$21-Calibracion!$C$4</f>
        <v/>
      </c>
      <c r="C476" s="21">
        <f>ABS(B476)</f>
        <v/>
      </c>
    </row>
    <row r="477">
      <c r="A477" s="8">
        <f>A476+0.01</f>
        <v/>
      </c>
      <c r="B477" s="21">
        <f>SUMPRODUCT(Calibracion!$C$11:$C$20,1/(1+EXP(-(Calibracion!$E$11:$E$20+A477))))/Calibracion!$C$21-Calibracion!$C$4</f>
        <v/>
      </c>
      <c r="C477" s="21">
        <f>ABS(B477)</f>
        <v/>
      </c>
    </row>
    <row r="478">
      <c r="A478" s="8">
        <f>A477+0.01</f>
        <v/>
      </c>
      <c r="B478" s="21">
        <f>SUMPRODUCT(Calibracion!$C$11:$C$20,1/(1+EXP(-(Calibracion!$E$11:$E$20+A478))))/Calibracion!$C$21-Calibracion!$C$4</f>
        <v/>
      </c>
      <c r="C478" s="21">
        <f>ABS(B478)</f>
        <v/>
      </c>
    </row>
    <row r="479">
      <c r="A479" s="8">
        <f>A478+0.01</f>
        <v/>
      </c>
      <c r="B479" s="21">
        <f>SUMPRODUCT(Calibracion!$C$11:$C$20,1/(1+EXP(-(Calibracion!$E$11:$E$20+A479))))/Calibracion!$C$21-Calibracion!$C$4</f>
        <v/>
      </c>
      <c r="C479" s="21">
        <f>ABS(B479)</f>
        <v/>
      </c>
    </row>
    <row r="480">
      <c r="A480" s="8">
        <f>A479+0.01</f>
        <v/>
      </c>
      <c r="B480" s="21">
        <f>SUMPRODUCT(Calibracion!$C$11:$C$20,1/(1+EXP(-(Calibracion!$E$11:$E$20+A480))))/Calibracion!$C$21-Calibracion!$C$4</f>
        <v/>
      </c>
      <c r="C480" s="21">
        <f>ABS(B480)</f>
        <v/>
      </c>
    </row>
    <row r="481">
      <c r="A481" s="8">
        <f>A480+0.01</f>
        <v/>
      </c>
      <c r="B481" s="21">
        <f>SUMPRODUCT(Calibracion!$C$11:$C$20,1/(1+EXP(-(Calibracion!$E$11:$E$20+A481))))/Calibracion!$C$21-Calibracion!$C$4</f>
        <v/>
      </c>
      <c r="C481" s="21">
        <f>ABS(B481)</f>
        <v/>
      </c>
    </row>
    <row r="482">
      <c r="A482" s="8">
        <f>A481+0.01</f>
        <v/>
      </c>
      <c r="B482" s="21">
        <f>SUMPRODUCT(Calibracion!$C$11:$C$20,1/(1+EXP(-(Calibracion!$E$11:$E$20+A482))))/Calibracion!$C$21-Calibracion!$C$4</f>
        <v/>
      </c>
      <c r="C482" s="21">
        <f>ABS(B482)</f>
        <v/>
      </c>
    </row>
    <row r="483">
      <c r="A483" s="8">
        <f>A482+0.01</f>
        <v/>
      </c>
      <c r="B483" s="21">
        <f>SUMPRODUCT(Calibracion!$C$11:$C$20,1/(1+EXP(-(Calibracion!$E$11:$E$20+A483))))/Calibracion!$C$21-Calibracion!$C$4</f>
        <v/>
      </c>
      <c r="C483" s="21">
        <f>ABS(B483)</f>
        <v/>
      </c>
    </row>
    <row r="484">
      <c r="A484" s="8">
        <f>A483+0.01</f>
        <v/>
      </c>
      <c r="B484" s="21">
        <f>SUMPRODUCT(Calibracion!$C$11:$C$20,1/(1+EXP(-(Calibracion!$E$11:$E$20+A484))))/Calibracion!$C$21-Calibracion!$C$4</f>
        <v/>
      </c>
      <c r="C484" s="21">
        <f>ABS(B484)</f>
        <v/>
      </c>
    </row>
    <row r="485">
      <c r="A485" s="8">
        <f>A484+0.01</f>
        <v/>
      </c>
      <c r="B485" s="21">
        <f>SUMPRODUCT(Calibracion!$C$11:$C$20,1/(1+EXP(-(Calibracion!$E$11:$E$20+A485))))/Calibracion!$C$21-Calibracion!$C$4</f>
        <v/>
      </c>
      <c r="C485" s="21">
        <f>ABS(B485)</f>
        <v/>
      </c>
    </row>
    <row r="486">
      <c r="A486" s="8">
        <f>A485+0.01</f>
        <v/>
      </c>
      <c r="B486" s="21">
        <f>SUMPRODUCT(Calibracion!$C$11:$C$20,1/(1+EXP(-(Calibracion!$E$11:$E$20+A486))))/Calibracion!$C$21-Calibracion!$C$4</f>
        <v/>
      </c>
      <c r="C486" s="21">
        <f>ABS(B486)</f>
        <v/>
      </c>
    </row>
    <row r="487">
      <c r="A487" s="8">
        <f>A486+0.01</f>
        <v/>
      </c>
      <c r="B487" s="21">
        <f>SUMPRODUCT(Calibracion!$C$11:$C$20,1/(1+EXP(-(Calibracion!$E$11:$E$20+A487))))/Calibracion!$C$21-Calibracion!$C$4</f>
        <v/>
      </c>
      <c r="C487" s="21">
        <f>ABS(B487)</f>
        <v/>
      </c>
    </row>
    <row r="488">
      <c r="A488" s="8">
        <f>A487+0.01</f>
        <v/>
      </c>
      <c r="B488" s="21">
        <f>SUMPRODUCT(Calibracion!$C$11:$C$20,1/(1+EXP(-(Calibracion!$E$11:$E$20+A488))))/Calibracion!$C$21-Calibracion!$C$4</f>
        <v/>
      </c>
      <c r="C488" s="21">
        <f>ABS(B488)</f>
        <v/>
      </c>
    </row>
    <row r="489">
      <c r="A489" s="8">
        <f>A488+0.01</f>
        <v/>
      </c>
      <c r="B489" s="21">
        <f>SUMPRODUCT(Calibracion!$C$11:$C$20,1/(1+EXP(-(Calibracion!$E$11:$E$20+A489))))/Calibracion!$C$21-Calibracion!$C$4</f>
        <v/>
      </c>
      <c r="C489" s="21">
        <f>ABS(B489)</f>
        <v/>
      </c>
    </row>
    <row r="490">
      <c r="A490" s="8">
        <f>A489+0.01</f>
        <v/>
      </c>
      <c r="B490" s="21">
        <f>SUMPRODUCT(Calibracion!$C$11:$C$20,1/(1+EXP(-(Calibracion!$E$11:$E$20+A490))))/Calibracion!$C$21-Calibracion!$C$4</f>
        <v/>
      </c>
      <c r="C490" s="21">
        <f>ABS(B490)</f>
        <v/>
      </c>
    </row>
    <row r="491">
      <c r="A491" s="8">
        <f>A490+0.01</f>
        <v/>
      </c>
      <c r="B491" s="21">
        <f>SUMPRODUCT(Calibracion!$C$11:$C$20,1/(1+EXP(-(Calibracion!$E$11:$E$20+A491))))/Calibracion!$C$21-Calibracion!$C$4</f>
        <v/>
      </c>
      <c r="C491" s="21">
        <f>ABS(B491)</f>
        <v/>
      </c>
    </row>
    <row r="492">
      <c r="A492" s="8">
        <f>A491+0.01</f>
        <v/>
      </c>
      <c r="B492" s="21">
        <f>SUMPRODUCT(Calibracion!$C$11:$C$20,1/(1+EXP(-(Calibracion!$E$11:$E$20+A492))))/Calibracion!$C$21-Calibracion!$C$4</f>
        <v/>
      </c>
      <c r="C492" s="21">
        <f>ABS(B492)</f>
        <v/>
      </c>
    </row>
    <row r="493">
      <c r="A493" s="8">
        <f>A492+0.01</f>
        <v/>
      </c>
      <c r="B493" s="21">
        <f>SUMPRODUCT(Calibracion!$C$11:$C$20,1/(1+EXP(-(Calibracion!$E$11:$E$20+A493))))/Calibracion!$C$21-Calibracion!$C$4</f>
        <v/>
      </c>
      <c r="C493" s="21">
        <f>ABS(B493)</f>
        <v/>
      </c>
    </row>
    <row r="494">
      <c r="A494" s="8">
        <f>A493+0.01</f>
        <v/>
      </c>
      <c r="B494" s="21">
        <f>SUMPRODUCT(Calibracion!$C$11:$C$20,1/(1+EXP(-(Calibracion!$E$11:$E$20+A494))))/Calibracion!$C$21-Calibracion!$C$4</f>
        <v/>
      </c>
      <c r="C494" s="21">
        <f>ABS(B494)</f>
        <v/>
      </c>
    </row>
    <row r="495">
      <c r="A495" s="8">
        <f>A494+0.01</f>
        <v/>
      </c>
      <c r="B495" s="21">
        <f>SUMPRODUCT(Calibracion!$C$11:$C$20,1/(1+EXP(-(Calibracion!$E$11:$E$20+A495))))/Calibracion!$C$21-Calibracion!$C$4</f>
        <v/>
      </c>
      <c r="C495" s="21">
        <f>ABS(B495)</f>
        <v/>
      </c>
    </row>
    <row r="496">
      <c r="A496" s="8">
        <f>A495+0.01</f>
        <v/>
      </c>
      <c r="B496" s="21">
        <f>SUMPRODUCT(Calibracion!$C$11:$C$20,1/(1+EXP(-(Calibracion!$E$11:$E$20+A496))))/Calibracion!$C$21-Calibracion!$C$4</f>
        <v/>
      </c>
      <c r="C496" s="21">
        <f>ABS(B496)</f>
        <v/>
      </c>
    </row>
    <row r="497">
      <c r="A497" s="8">
        <f>A496+0.01</f>
        <v/>
      </c>
      <c r="B497" s="21">
        <f>SUMPRODUCT(Calibracion!$C$11:$C$20,1/(1+EXP(-(Calibracion!$E$11:$E$20+A497))))/Calibracion!$C$21-Calibracion!$C$4</f>
        <v/>
      </c>
      <c r="C497" s="21">
        <f>ABS(B497)</f>
        <v/>
      </c>
    </row>
    <row r="498">
      <c r="A498" s="8">
        <f>A497+0.01</f>
        <v/>
      </c>
      <c r="B498" s="21">
        <f>SUMPRODUCT(Calibracion!$C$11:$C$20,1/(1+EXP(-(Calibracion!$E$11:$E$20+A498))))/Calibracion!$C$21-Calibracion!$C$4</f>
        <v/>
      </c>
      <c r="C498" s="21">
        <f>ABS(B498)</f>
        <v/>
      </c>
    </row>
    <row r="499">
      <c r="A499" s="8">
        <f>A498+0.01</f>
        <v/>
      </c>
      <c r="B499" s="21">
        <f>SUMPRODUCT(Calibracion!$C$11:$C$20,1/(1+EXP(-(Calibracion!$E$11:$E$20+A499))))/Calibracion!$C$21-Calibracion!$C$4</f>
        <v/>
      </c>
      <c r="C499" s="21">
        <f>ABS(B499)</f>
        <v/>
      </c>
    </row>
    <row r="500">
      <c r="A500" s="8">
        <f>A499+0.01</f>
        <v/>
      </c>
      <c r="B500" s="21">
        <f>SUMPRODUCT(Calibracion!$C$11:$C$20,1/(1+EXP(-(Calibracion!$E$11:$E$20+A500))))/Calibracion!$C$21-Calibracion!$C$4</f>
        <v/>
      </c>
      <c r="C500" s="21">
        <f>ABS(B500)</f>
        <v/>
      </c>
    </row>
    <row r="501">
      <c r="A501" s="8">
        <f>A500+0.01</f>
        <v/>
      </c>
      <c r="B501" s="21">
        <f>SUMPRODUCT(Calibracion!$C$11:$C$20,1/(1+EXP(-(Calibracion!$E$11:$E$20+A501))))/Calibracion!$C$21-Calibracion!$C$4</f>
        <v/>
      </c>
      <c r="C501" s="21">
        <f>ABS(B501)</f>
        <v/>
      </c>
    </row>
    <row r="502">
      <c r="A502" s="8">
        <f>A501+0.01</f>
        <v/>
      </c>
      <c r="B502" s="21">
        <f>SUMPRODUCT(Calibracion!$C$11:$C$20,1/(1+EXP(-(Calibracion!$E$11:$E$20+A502))))/Calibracion!$C$21-Calibracion!$C$4</f>
        <v/>
      </c>
      <c r="C502" s="21">
        <f>ABS(B502)</f>
        <v/>
      </c>
    </row>
    <row r="503">
      <c r="A503" s="8">
        <f>A502+0.01</f>
        <v/>
      </c>
      <c r="B503" s="21">
        <f>SUMPRODUCT(Calibracion!$C$11:$C$20,1/(1+EXP(-(Calibracion!$E$11:$E$20+A503))))/Calibracion!$C$21-Calibracion!$C$4</f>
        <v/>
      </c>
      <c r="C503" s="21">
        <f>ABS(B503)</f>
        <v/>
      </c>
    </row>
    <row r="504">
      <c r="A504" s="8">
        <f>A503+0.01</f>
        <v/>
      </c>
      <c r="B504" s="21">
        <f>SUMPRODUCT(Calibracion!$C$11:$C$20,1/(1+EXP(-(Calibracion!$E$11:$E$20+A504))))/Calibracion!$C$21-Calibracion!$C$4</f>
        <v/>
      </c>
      <c r="C504" s="21">
        <f>ABS(B504)</f>
        <v/>
      </c>
    </row>
    <row r="505">
      <c r="A505" s="8">
        <f>A504+0.01</f>
        <v/>
      </c>
      <c r="B505" s="21">
        <f>SUMPRODUCT(Calibracion!$C$11:$C$20,1/(1+EXP(-(Calibracion!$E$11:$E$20+A505))))/Calibracion!$C$21-Calibracion!$C$4</f>
        <v/>
      </c>
      <c r="C505" s="21">
        <f>ABS(B505)</f>
        <v/>
      </c>
    </row>
    <row r="506">
      <c r="A506" s="8">
        <f>A505+0.01</f>
        <v/>
      </c>
      <c r="B506" s="21">
        <f>SUMPRODUCT(Calibracion!$C$11:$C$20,1/(1+EXP(-(Calibracion!$E$11:$E$20+A506))))/Calibracion!$C$21-Calibracion!$C$4</f>
        <v/>
      </c>
      <c r="C506" s="21">
        <f>ABS(B506)</f>
        <v/>
      </c>
    </row>
    <row r="507">
      <c r="A507" s="8">
        <f>A506+0.01</f>
        <v/>
      </c>
      <c r="B507" s="21">
        <f>SUMPRODUCT(Calibracion!$C$11:$C$20,1/(1+EXP(-(Calibracion!$E$11:$E$20+A507))))/Calibracion!$C$21-Calibracion!$C$4</f>
        <v/>
      </c>
      <c r="C507" s="21">
        <f>ABS(B507)</f>
        <v/>
      </c>
    </row>
    <row r="508">
      <c r="A508" s="8">
        <f>A507+0.01</f>
        <v/>
      </c>
      <c r="B508" s="21">
        <f>SUMPRODUCT(Calibracion!$C$11:$C$20,1/(1+EXP(-(Calibracion!$E$11:$E$20+A508))))/Calibracion!$C$21-Calibracion!$C$4</f>
        <v/>
      </c>
      <c r="C508" s="21">
        <f>ABS(B508)</f>
        <v/>
      </c>
    </row>
    <row r="509">
      <c r="A509" s="8">
        <f>A508+0.01</f>
        <v/>
      </c>
      <c r="B509" s="21">
        <f>SUMPRODUCT(Calibracion!$C$11:$C$20,1/(1+EXP(-(Calibracion!$E$11:$E$20+A509))))/Calibracion!$C$21-Calibracion!$C$4</f>
        <v/>
      </c>
      <c r="C509" s="21">
        <f>ABS(B509)</f>
        <v/>
      </c>
    </row>
    <row r="510">
      <c r="A510" s="8">
        <f>A509+0.01</f>
        <v/>
      </c>
      <c r="B510" s="21">
        <f>SUMPRODUCT(Calibracion!$C$11:$C$20,1/(1+EXP(-(Calibracion!$E$11:$E$20+A510))))/Calibracion!$C$21-Calibracion!$C$4</f>
        <v/>
      </c>
      <c r="C510" s="21">
        <f>ABS(B510)</f>
        <v/>
      </c>
    </row>
    <row r="511">
      <c r="A511" s="8">
        <f>A510+0.01</f>
        <v/>
      </c>
      <c r="B511" s="21">
        <f>SUMPRODUCT(Calibracion!$C$11:$C$20,1/(1+EXP(-(Calibracion!$E$11:$E$20+A511))))/Calibracion!$C$21-Calibracion!$C$4</f>
        <v/>
      </c>
      <c r="C511" s="21">
        <f>ABS(B511)</f>
        <v/>
      </c>
    </row>
    <row r="512">
      <c r="A512" s="8">
        <f>A511+0.01</f>
        <v/>
      </c>
      <c r="B512" s="21">
        <f>SUMPRODUCT(Calibracion!$C$11:$C$20,1/(1+EXP(-(Calibracion!$E$11:$E$20+A512))))/Calibracion!$C$21-Calibracion!$C$4</f>
        <v/>
      </c>
      <c r="C512" s="21">
        <f>ABS(B512)</f>
        <v/>
      </c>
    </row>
    <row r="513">
      <c r="A513" s="8">
        <f>A512+0.01</f>
        <v/>
      </c>
      <c r="B513" s="21">
        <f>SUMPRODUCT(Calibracion!$C$11:$C$20,1/(1+EXP(-(Calibracion!$E$11:$E$20+A513))))/Calibracion!$C$21-Calibracion!$C$4</f>
        <v/>
      </c>
      <c r="C513" s="21">
        <f>ABS(B513)</f>
        <v/>
      </c>
    </row>
    <row r="514">
      <c r="A514" s="8">
        <f>A513+0.01</f>
        <v/>
      </c>
      <c r="B514" s="21">
        <f>SUMPRODUCT(Calibracion!$C$11:$C$20,1/(1+EXP(-(Calibracion!$E$11:$E$20+A514))))/Calibracion!$C$21-Calibracion!$C$4</f>
        <v/>
      </c>
      <c r="C514" s="21">
        <f>ABS(B514)</f>
        <v/>
      </c>
    </row>
    <row r="515">
      <c r="A515" s="8">
        <f>A514+0.01</f>
        <v/>
      </c>
      <c r="B515" s="21">
        <f>SUMPRODUCT(Calibracion!$C$11:$C$20,1/(1+EXP(-(Calibracion!$E$11:$E$20+A515))))/Calibracion!$C$21-Calibracion!$C$4</f>
        <v/>
      </c>
      <c r="C515" s="21">
        <f>ABS(B515)</f>
        <v/>
      </c>
    </row>
    <row r="516">
      <c r="A516" s="8">
        <f>A515+0.01</f>
        <v/>
      </c>
      <c r="B516" s="21">
        <f>SUMPRODUCT(Calibracion!$C$11:$C$20,1/(1+EXP(-(Calibracion!$E$11:$E$20+A516))))/Calibracion!$C$21-Calibracion!$C$4</f>
        <v/>
      </c>
      <c r="C516" s="21">
        <f>ABS(B516)</f>
        <v/>
      </c>
    </row>
    <row r="517">
      <c r="A517" s="8">
        <f>A516+0.01</f>
        <v/>
      </c>
      <c r="B517" s="21">
        <f>SUMPRODUCT(Calibracion!$C$11:$C$20,1/(1+EXP(-(Calibracion!$E$11:$E$20+A517))))/Calibracion!$C$21-Calibracion!$C$4</f>
        <v/>
      </c>
      <c r="C517" s="21">
        <f>ABS(B517)</f>
        <v/>
      </c>
    </row>
    <row r="518">
      <c r="A518" s="8">
        <f>A517+0.01</f>
        <v/>
      </c>
      <c r="B518" s="21">
        <f>SUMPRODUCT(Calibracion!$C$11:$C$20,1/(1+EXP(-(Calibracion!$E$11:$E$20+A518))))/Calibracion!$C$21-Calibracion!$C$4</f>
        <v/>
      </c>
      <c r="C518" s="21">
        <f>ABS(B518)</f>
        <v/>
      </c>
    </row>
    <row r="519">
      <c r="A519" s="8">
        <f>A518+0.01</f>
        <v/>
      </c>
      <c r="B519" s="21">
        <f>SUMPRODUCT(Calibracion!$C$11:$C$20,1/(1+EXP(-(Calibracion!$E$11:$E$20+A519))))/Calibracion!$C$21-Calibracion!$C$4</f>
        <v/>
      </c>
      <c r="C519" s="21">
        <f>ABS(B519)</f>
        <v/>
      </c>
    </row>
    <row r="520">
      <c r="A520" s="8">
        <f>A519+0.01</f>
        <v/>
      </c>
      <c r="B520" s="21">
        <f>SUMPRODUCT(Calibracion!$C$11:$C$20,1/(1+EXP(-(Calibracion!$E$11:$E$20+A520))))/Calibracion!$C$21-Calibracion!$C$4</f>
        <v/>
      </c>
      <c r="C520" s="21">
        <f>ABS(B520)</f>
        <v/>
      </c>
    </row>
    <row r="521">
      <c r="A521" s="8">
        <f>A520+0.01</f>
        <v/>
      </c>
      <c r="B521" s="21">
        <f>SUMPRODUCT(Calibracion!$C$11:$C$20,1/(1+EXP(-(Calibracion!$E$11:$E$20+A521))))/Calibracion!$C$21-Calibracion!$C$4</f>
        <v/>
      </c>
      <c r="C521" s="21">
        <f>ABS(B521)</f>
        <v/>
      </c>
    </row>
    <row r="522">
      <c r="A522" s="8">
        <f>A521+0.01</f>
        <v/>
      </c>
      <c r="B522" s="21">
        <f>SUMPRODUCT(Calibracion!$C$11:$C$20,1/(1+EXP(-(Calibracion!$E$11:$E$20+A522))))/Calibracion!$C$21-Calibracion!$C$4</f>
        <v/>
      </c>
      <c r="C522" s="21">
        <f>ABS(B522)</f>
        <v/>
      </c>
    </row>
    <row r="523">
      <c r="A523" s="8">
        <f>A522+0.01</f>
        <v/>
      </c>
      <c r="B523" s="21">
        <f>SUMPRODUCT(Calibracion!$C$11:$C$20,1/(1+EXP(-(Calibracion!$E$11:$E$20+A523))))/Calibracion!$C$21-Calibracion!$C$4</f>
        <v/>
      </c>
      <c r="C523" s="21">
        <f>ABS(B523)</f>
        <v/>
      </c>
    </row>
    <row r="524">
      <c r="A524" s="8">
        <f>A523+0.01</f>
        <v/>
      </c>
      <c r="B524" s="21">
        <f>SUMPRODUCT(Calibracion!$C$11:$C$20,1/(1+EXP(-(Calibracion!$E$11:$E$20+A524))))/Calibracion!$C$21-Calibracion!$C$4</f>
        <v/>
      </c>
      <c r="C524" s="21">
        <f>ABS(B524)</f>
        <v/>
      </c>
    </row>
    <row r="525">
      <c r="A525" s="8">
        <f>A524+0.01</f>
        <v/>
      </c>
      <c r="B525" s="21">
        <f>SUMPRODUCT(Calibracion!$C$11:$C$20,1/(1+EXP(-(Calibracion!$E$11:$E$20+A525))))/Calibracion!$C$21-Calibracion!$C$4</f>
        <v/>
      </c>
      <c r="C525" s="21">
        <f>ABS(B525)</f>
        <v/>
      </c>
    </row>
    <row r="526">
      <c r="A526" s="8">
        <f>A525+0.01</f>
        <v/>
      </c>
      <c r="B526" s="21">
        <f>SUMPRODUCT(Calibracion!$C$11:$C$20,1/(1+EXP(-(Calibracion!$E$11:$E$20+A526))))/Calibracion!$C$21-Calibracion!$C$4</f>
        <v/>
      </c>
      <c r="C526" s="21">
        <f>ABS(B526)</f>
        <v/>
      </c>
    </row>
    <row r="527">
      <c r="A527" s="8">
        <f>A526+0.01</f>
        <v/>
      </c>
      <c r="B527" s="21">
        <f>SUMPRODUCT(Calibracion!$C$11:$C$20,1/(1+EXP(-(Calibracion!$E$11:$E$20+A527))))/Calibracion!$C$21-Calibracion!$C$4</f>
        <v/>
      </c>
      <c r="C527" s="21">
        <f>ABS(B527)</f>
        <v/>
      </c>
    </row>
    <row r="528">
      <c r="A528" s="8">
        <f>A527+0.01</f>
        <v/>
      </c>
      <c r="B528" s="21">
        <f>SUMPRODUCT(Calibracion!$C$11:$C$20,1/(1+EXP(-(Calibracion!$E$11:$E$20+A528))))/Calibracion!$C$21-Calibracion!$C$4</f>
        <v/>
      </c>
      <c r="C528" s="21">
        <f>ABS(B528)</f>
        <v/>
      </c>
    </row>
    <row r="529">
      <c r="A529" s="8">
        <f>A528+0.01</f>
        <v/>
      </c>
      <c r="B529" s="21">
        <f>SUMPRODUCT(Calibracion!$C$11:$C$20,1/(1+EXP(-(Calibracion!$E$11:$E$20+A529))))/Calibracion!$C$21-Calibracion!$C$4</f>
        <v/>
      </c>
      <c r="C529" s="21">
        <f>ABS(B529)</f>
        <v/>
      </c>
    </row>
    <row r="530">
      <c r="A530" s="8">
        <f>A529+0.01</f>
        <v/>
      </c>
      <c r="B530" s="21">
        <f>SUMPRODUCT(Calibracion!$C$11:$C$20,1/(1+EXP(-(Calibracion!$E$11:$E$20+A530))))/Calibracion!$C$21-Calibracion!$C$4</f>
        <v/>
      </c>
      <c r="C530" s="21">
        <f>ABS(B530)</f>
        <v/>
      </c>
    </row>
    <row r="531">
      <c r="A531" s="8">
        <f>A530+0.01</f>
        <v/>
      </c>
      <c r="B531" s="21">
        <f>SUMPRODUCT(Calibracion!$C$11:$C$20,1/(1+EXP(-(Calibracion!$E$11:$E$20+A531))))/Calibracion!$C$21-Calibracion!$C$4</f>
        <v/>
      </c>
      <c r="C531" s="21">
        <f>ABS(B531)</f>
        <v/>
      </c>
    </row>
    <row r="532">
      <c r="A532" s="8">
        <f>A531+0.01</f>
        <v/>
      </c>
      <c r="B532" s="21">
        <f>SUMPRODUCT(Calibracion!$C$11:$C$20,1/(1+EXP(-(Calibracion!$E$11:$E$20+A532))))/Calibracion!$C$21-Calibracion!$C$4</f>
        <v/>
      </c>
      <c r="C532" s="21">
        <f>ABS(B532)</f>
        <v/>
      </c>
    </row>
    <row r="533">
      <c r="A533" s="8">
        <f>A532+0.01</f>
        <v/>
      </c>
      <c r="B533" s="21">
        <f>SUMPRODUCT(Calibracion!$C$11:$C$20,1/(1+EXP(-(Calibracion!$E$11:$E$20+A533))))/Calibracion!$C$21-Calibracion!$C$4</f>
        <v/>
      </c>
      <c r="C533" s="21">
        <f>ABS(B533)</f>
        <v/>
      </c>
    </row>
    <row r="534">
      <c r="A534" s="8">
        <f>A533+0.01</f>
        <v/>
      </c>
      <c r="B534" s="21">
        <f>SUMPRODUCT(Calibracion!$C$11:$C$20,1/(1+EXP(-(Calibracion!$E$11:$E$20+A534))))/Calibracion!$C$21-Calibracion!$C$4</f>
        <v/>
      </c>
      <c r="C534" s="21">
        <f>ABS(B534)</f>
        <v/>
      </c>
    </row>
    <row r="535">
      <c r="A535" s="8">
        <f>A534+0.01</f>
        <v/>
      </c>
      <c r="B535" s="21">
        <f>SUMPRODUCT(Calibracion!$C$11:$C$20,1/(1+EXP(-(Calibracion!$E$11:$E$20+A535))))/Calibracion!$C$21-Calibracion!$C$4</f>
        <v/>
      </c>
      <c r="C535" s="21">
        <f>ABS(B535)</f>
        <v/>
      </c>
    </row>
    <row r="536">
      <c r="A536" s="8">
        <f>A535+0.01</f>
        <v/>
      </c>
      <c r="B536" s="21">
        <f>SUMPRODUCT(Calibracion!$C$11:$C$20,1/(1+EXP(-(Calibracion!$E$11:$E$20+A536))))/Calibracion!$C$21-Calibracion!$C$4</f>
        <v/>
      </c>
      <c r="C536" s="21">
        <f>ABS(B536)</f>
        <v/>
      </c>
    </row>
    <row r="537">
      <c r="A537" s="8">
        <f>A536+0.01</f>
        <v/>
      </c>
      <c r="B537" s="21">
        <f>SUMPRODUCT(Calibracion!$C$11:$C$20,1/(1+EXP(-(Calibracion!$E$11:$E$20+A537))))/Calibracion!$C$21-Calibracion!$C$4</f>
        <v/>
      </c>
      <c r="C537" s="21">
        <f>ABS(B537)</f>
        <v/>
      </c>
    </row>
    <row r="538">
      <c r="A538" s="8">
        <f>A537+0.01</f>
        <v/>
      </c>
      <c r="B538" s="21">
        <f>SUMPRODUCT(Calibracion!$C$11:$C$20,1/(1+EXP(-(Calibracion!$E$11:$E$20+A538))))/Calibracion!$C$21-Calibracion!$C$4</f>
        <v/>
      </c>
      <c r="C538" s="21">
        <f>ABS(B538)</f>
        <v/>
      </c>
    </row>
    <row r="539">
      <c r="A539" s="8">
        <f>A538+0.01</f>
        <v/>
      </c>
      <c r="B539" s="21">
        <f>SUMPRODUCT(Calibracion!$C$11:$C$20,1/(1+EXP(-(Calibracion!$E$11:$E$20+A539))))/Calibracion!$C$21-Calibracion!$C$4</f>
        <v/>
      </c>
      <c r="C539" s="21">
        <f>ABS(B539)</f>
        <v/>
      </c>
    </row>
    <row r="540">
      <c r="A540" s="8">
        <f>A539+0.01</f>
        <v/>
      </c>
      <c r="B540" s="21">
        <f>SUMPRODUCT(Calibracion!$C$11:$C$20,1/(1+EXP(-(Calibracion!$E$11:$E$20+A540))))/Calibracion!$C$21-Calibracion!$C$4</f>
        <v/>
      </c>
      <c r="C540" s="21">
        <f>ABS(B540)</f>
        <v/>
      </c>
    </row>
    <row r="541">
      <c r="A541" s="8">
        <f>A540+0.01</f>
        <v/>
      </c>
      <c r="B541" s="21">
        <f>SUMPRODUCT(Calibracion!$C$11:$C$20,1/(1+EXP(-(Calibracion!$E$11:$E$20+A541))))/Calibracion!$C$21-Calibracion!$C$4</f>
        <v/>
      </c>
      <c r="C541" s="21">
        <f>ABS(B541)</f>
        <v/>
      </c>
    </row>
    <row r="542">
      <c r="A542" s="8">
        <f>A541+0.01</f>
        <v/>
      </c>
      <c r="B542" s="21">
        <f>SUMPRODUCT(Calibracion!$C$11:$C$20,1/(1+EXP(-(Calibracion!$E$11:$E$20+A542))))/Calibracion!$C$21-Calibracion!$C$4</f>
        <v/>
      </c>
      <c r="C542" s="21">
        <f>ABS(B542)</f>
        <v/>
      </c>
    </row>
    <row r="543">
      <c r="A543" s="8">
        <f>A542+0.01</f>
        <v/>
      </c>
      <c r="B543" s="21">
        <f>SUMPRODUCT(Calibracion!$C$11:$C$20,1/(1+EXP(-(Calibracion!$E$11:$E$20+A543))))/Calibracion!$C$21-Calibracion!$C$4</f>
        <v/>
      </c>
      <c r="C543" s="21">
        <f>ABS(B543)</f>
        <v/>
      </c>
    </row>
    <row r="544">
      <c r="A544" s="8">
        <f>A543+0.01</f>
        <v/>
      </c>
      <c r="B544" s="21">
        <f>SUMPRODUCT(Calibracion!$C$11:$C$20,1/(1+EXP(-(Calibracion!$E$11:$E$20+A544))))/Calibracion!$C$21-Calibracion!$C$4</f>
        <v/>
      </c>
      <c r="C544" s="21">
        <f>ABS(B544)</f>
        <v/>
      </c>
    </row>
    <row r="545">
      <c r="A545" s="8">
        <f>A544+0.01</f>
        <v/>
      </c>
      <c r="B545" s="21">
        <f>SUMPRODUCT(Calibracion!$C$11:$C$20,1/(1+EXP(-(Calibracion!$E$11:$E$20+A545))))/Calibracion!$C$21-Calibracion!$C$4</f>
        <v/>
      </c>
      <c r="C545" s="21">
        <f>ABS(B545)</f>
        <v/>
      </c>
    </row>
    <row r="546">
      <c r="A546" s="8">
        <f>A545+0.01</f>
        <v/>
      </c>
      <c r="B546" s="21">
        <f>SUMPRODUCT(Calibracion!$C$11:$C$20,1/(1+EXP(-(Calibracion!$E$11:$E$20+A546))))/Calibracion!$C$21-Calibracion!$C$4</f>
        <v/>
      </c>
      <c r="C546" s="21">
        <f>ABS(B546)</f>
        <v/>
      </c>
    </row>
    <row r="547">
      <c r="A547" s="8">
        <f>A546+0.01</f>
        <v/>
      </c>
      <c r="B547" s="21">
        <f>SUMPRODUCT(Calibracion!$C$11:$C$20,1/(1+EXP(-(Calibracion!$E$11:$E$20+A547))))/Calibracion!$C$21-Calibracion!$C$4</f>
        <v/>
      </c>
      <c r="C547" s="21">
        <f>ABS(B547)</f>
        <v/>
      </c>
    </row>
    <row r="548">
      <c r="A548" s="8">
        <f>A547+0.01</f>
        <v/>
      </c>
      <c r="B548" s="21">
        <f>SUMPRODUCT(Calibracion!$C$11:$C$20,1/(1+EXP(-(Calibracion!$E$11:$E$20+A548))))/Calibracion!$C$21-Calibracion!$C$4</f>
        <v/>
      </c>
      <c r="C548" s="21">
        <f>ABS(B548)</f>
        <v/>
      </c>
    </row>
    <row r="549">
      <c r="A549" s="8">
        <f>A548+0.01</f>
        <v/>
      </c>
      <c r="B549" s="21">
        <f>SUMPRODUCT(Calibracion!$C$11:$C$20,1/(1+EXP(-(Calibracion!$E$11:$E$20+A549))))/Calibracion!$C$21-Calibracion!$C$4</f>
        <v/>
      </c>
      <c r="C549" s="21">
        <f>ABS(B549)</f>
        <v/>
      </c>
    </row>
    <row r="550">
      <c r="A550" s="8">
        <f>A549+0.01</f>
        <v/>
      </c>
      <c r="B550" s="21">
        <f>SUMPRODUCT(Calibracion!$C$11:$C$20,1/(1+EXP(-(Calibracion!$E$11:$E$20+A550))))/Calibracion!$C$21-Calibracion!$C$4</f>
        <v/>
      </c>
      <c r="C550" s="21">
        <f>ABS(B550)</f>
        <v/>
      </c>
    </row>
    <row r="551">
      <c r="A551" s="8">
        <f>A550+0.01</f>
        <v/>
      </c>
      <c r="B551" s="21">
        <f>SUMPRODUCT(Calibracion!$C$11:$C$20,1/(1+EXP(-(Calibracion!$E$11:$E$20+A551))))/Calibracion!$C$21-Calibracion!$C$4</f>
        <v/>
      </c>
      <c r="C551" s="21">
        <f>ABS(B551)</f>
        <v/>
      </c>
    </row>
    <row r="552">
      <c r="A552" s="8">
        <f>A551+0.01</f>
        <v/>
      </c>
      <c r="B552" s="21">
        <f>SUMPRODUCT(Calibracion!$C$11:$C$20,1/(1+EXP(-(Calibracion!$E$11:$E$20+A552))))/Calibracion!$C$21-Calibracion!$C$4</f>
        <v/>
      </c>
      <c r="C552" s="21">
        <f>ABS(B552)</f>
        <v/>
      </c>
    </row>
    <row r="553">
      <c r="A553" s="8">
        <f>A552+0.01</f>
        <v/>
      </c>
      <c r="B553" s="21">
        <f>SUMPRODUCT(Calibracion!$C$11:$C$20,1/(1+EXP(-(Calibracion!$E$11:$E$20+A553))))/Calibracion!$C$21-Calibracion!$C$4</f>
        <v/>
      </c>
      <c r="C553" s="21">
        <f>ABS(B553)</f>
        <v/>
      </c>
    </row>
    <row r="554">
      <c r="A554" s="8">
        <f>A553+0.01</f>
        <v/>
      </c>
      <c r="B554" s="21">
        <f>SUMPRODUCT(Calibracion!$C$11:$C$20,1/(1+EXP(-(Calibracion!$E$11:$E$20+A554))))/Calibracion!$C$21-Calibracion!$C$4</f>
        <v/>
      </c>
      <c r="C554" s="21">
        <f>ABS(B554)</f>
        <v/>
      </c>
    </row>
    <row r="555">
      <c r="A555" s="8">
        <f>A554+0.01</f>
        <v/>
      </c>
      <c r="B555" s="21">
        <f>SUMPRODUCT(Calibracion!$C$11:$C$20,1/(1+EXP(-(Calibracion!$E$11:$E$20+A555))))/Calibracion!$C$21-Calibracion!$C$4</f>
        <v/>
      </c>
      <c r="C555" s="21">
        <f>ABS(B555)</f>
        <v/>
      </c>
    </row>
    <row r="556">
      <c r="A556" s="8">
        <f>A555+0.01</f>
        <v/>
      </c>
      <c r="B556" s="21">
        <f>SUMPRODUCT(Calibracion!$C$11:$C$20,1/(1+EXP(-(Calibracion!$E$11:$E$20+A556))))/Calibracion!$C$21-Calibracion!$C$4</f>
        <v/>
      </c>
      <c r="C556" s="21">
        <f>ABS(B556)</f>
        <v/>
      </c>
    </row>
    <row r="557">
      <c r="A557" s="8">
        <f>A556+0.01</f>
        <v/>
      </c>
      <c r="B557" s="21">
        <f>SUMPRODUCT(Calibracion!$C$11:$C$20,1/(1+EXP(-(Calibracion!$E$11:$E$20+A557))))/Calibracion!$C$21-Calibracion!$C$4</f>
        <v/>
      </c>
      <c r="C557" s="21">
        <f>ABS(B557)</f>
        <v/>
      </c>
    </row>
    <row r="558">
      <c r="A558" s="8">
        <f>A557+0.01</f>
        <v/>
      </c>
      <c r="B558" s="21">
        <f>SUMPRODUCT(Calibracion!$C$11:$C$20,1/(1+EXP(-(Calibracion!$E$11:$E$20+A558))))/Calibracion!$C$21-Calibracion!$C$4</f>
        <v/>
      </c>
      <c r="C558" s="21">
        <f>ABS(B558)</f>
        <v/>
      </c>
    </row>
    <row r="559">
      <c r="A559" s="8">
        <f>A558+0.01</f>
        <v/>
      </c>
      <c r="B559" s="21">
        <f>SUMPRODUCT(Calibracion!$C$11:$C$20,1/(1+EXP(-(Calibracion!$E$11:$E$20+A559))))/Calibracion!$C$21-Calibracion!$C$4</f>
        <v/>
      </c>
      <c r="C559" s="21">
        <f>ABS(B559)</f>
        <v/>
      </c>
    </row>
    <row r="560">
      <c r="A560" s="8">
        <f>A559+0.01</f>
        <v/>
      </c>
      <c r="B560" s="21">
        <f>SUMPRODUCT(Calibracion!$C$11:$C$20,1/(1+EXP(-(Calibracion!$E$11:$E$20+A560))))/Calibracion!$C$21-Calibracion!$C$4</f>
        <v/>
      </c>
      <c r="C560" s="21">
        <f>ABS(B560)</f>
        <v/>
      </c>
    </row>
    <row r="561">
      <c r="A561" s="8">
        <f>A560+0.01</f>
        <v/>
      </c>
      <c r="B561" s="21">
        <f>SUMPRODUCT(Calibracion!$C$11:$C$20,1/(1+EXP(-(Calibracion!$E$11:$E$20+A561))))/Calibracion!$C$21-Calibracion!$C$4</f>
        <v/>
      </c>
      <c r="C561" s="21">
        <f>ABS(B561)</f>
        <v/>
      </c>
    </row>
    <row r="562">
      <c r="A562" s="8">
        <f>A561+0.01</f>
        <v/>
      </c>
      <c r="B562" s="21">
        <f>SUMPRODUCT(Calibracion!$C$11:$C$20,1/(1+EXP(-(Calibracion!$E$11:$E$20+A562))))/Calibracion!$C$21-Calibracion!$C$4</f>
        <v/>
      </c>
      <c r="C562" s="21">
        <f>ABS(B562)</f>
        <v/>
      </c>
    </row>
    <row r="563">
      <c r="A563" s="8">
        <f>A562+0.01</f>
        <v/>
      </c>
      <c r="B563" s="21">
        <f>SUMPRODUCT(Calibracion!$C$11:$C$20,1/(1+EXP(-(Calibracion!$E$11:$E$20+A563))))/Calibracion!$C$21-Calibracion!$C$4</f>
        <v/>
      </c>
      <c r="C563" s="21">
        <f>ABS(B563)</f>
        <v/>
      </c>
    </row>
    <row r="564">
      <c r="A564" s="8">
        <f>A563+0.01</f>
        <v/>
      </c>
      <c r="B564" s="21">
        <f>SUMPRODUCT(Calibracion!$C$11:$C$20,1/(1+EXP(-(Calibracion!$E$11:$E$20+A564))))/Calibracion!$C$21-Calibracion!$C$4</f>
        <v/>
      </c>
      <c r="C564" s="21">
        <f>ABS(B564)</f>
        <v/>
      </c>
    </row>
    <row r="565">
      <c r="A565" s="8">
        <f>A564+0.01</f>
        <v/>
      </c>
      <c r="B565" s="21">
        <f>SUMPRODUCT(Calibracion!$C$11:$C$20,1/(1+EXP(-(Calibracion!$E$11:$E$20+A565))))/Calibracion!$C$21-Calibracion!$C$4</f>
        <v/>
      </c>
      <c r="C565" s="21">
        <f>ABS(B565)</f>
        <v/>
      </c>
    </row>
    <row r="566">
      <c r="A566" s="8">
        <f>A565+0.01</f>
        <v/>
      </c>
      <c r="B566" s="21">
        <f>SUMPRODUCT(Calibracion!$C$11:$C$20,1/(1+EXP(-(Calibracion!$E$11:$E$20+A566))))/Calibracion!$C$21-Calibracion!$C$4</f>
        <v/>
      </c>
      <c r="C566" s="21">
        <f>ABS(B566)</f>
        <v/>
      </c>
    </row>
    <row r="567">
      <c r="A567" s="8">
        <f>A566+0.01</f>
        <v/>
      </c>
      <c r="B567" s="21">
        <f>SUMPRODUCT(Calibracion!$C$11:$C$20,1/(1+EXP(-(Calibracion!$E$11:$E$20+A567))))/Calibracion!$C$21-Calibracion!$C$4</f>
        <v/>
      </c>
      <c r="C567" s="21">
        <f>ABS(B567)</f>
        <v/>
      </c>
    </row>
    <row r="568">
      <c r="A568" s="8">
        <f>A567+0.01</f>
        <v/>
      </c>
      <c r="B568" s="21">
        <f>SUMPRODUCT(Calibracion!$C$11:$C$20,1/(1+EXP(-(Calibracion!$E$11:$E$20+A568))))/Calibracion!$C$21-Calibracion!$C$4</f>
        <v/>
      </c>
      <c r="C568" s="21">
        <f>ABS(B568)</f>
        <v/>
      </c>
    </row>
    <row r="569">
      <c r="A569" s="8">
        <f>A568+0.01</f>
        <v/>
      </c>
      <c r="B569" s="21">
        <f>SUMPRODUCT(Calibracion!$C$11:$C$20,1/(1+EXP(-(Calibracion!$E$11:$E$20+A569))))/Calibracion!$C$21-Calibracion!$C$4</f>
        <v/>
      </c>
      <c r="C569" s="21">
        <f>ABS(B569)</f>
        <v/>
      </c>
    </row>
    <row r="570">
      <c r="A570" s="8">
        <f>A569+0.01</f>
        <v/>
      </c>
      <c r="B570" s="21">
        <f>SUMPRODUCT(Calibracion!$C$11:$C$20,1/(1+EXP(-(Calibracion!$E$11:$E$20+A570))))/Calibracion!$C$21-Calibracion!$C$4</f>
        <v/>
      </c>
      <c r="C570" s="21">
        <f>ABS(B570)</f>
        <v/>
      </c>
    </row>
    <row r="571">
      <c r="A571" s="8">
        <f>A570+0.01</f>
        <v/>
      </c>
      <c r="B571" s="21">
        <f>SUMPRODUCT(Calibracion!$C$11:$C$20,1/(1+EXP(-(Calibracion!$E$11:$E$20+A571))))/Calibracion!$C$21-Calibracion!$C$4</f>
        <v/>
      </c>
      <c r="C571" s="21">
        <f>ABS(B571)</f>
        <v/>
      </c>
    </row>
    <row r="572">
      <c r="A572" s="8">
        <f>A571+0.01</f>
        <v/>
      </c>
      <c r="B572" s="21">
        <f>SUMPRODUCT(Calibracion!$C$11:$C$20,1/(1+EXP(-(Calibracion!$E$11:$E$20+A572))))/Calibracion!$C$21-Calibracion!$C$4</f>
        <v/>
      </c>
      <c r="C572" s="21">
        <f>ABS(B572)</f>
        <v/>
      </c>
    </row>
    <row r="573">
      <c r="A573" s="8">
        <f>A572+0.01</f>
        <v/>
      </c>
      <c r="B573" s="21">
        <f>SUMPRODUCT(Calibracion!$C$11:$C$20,1/(1+EXP(-(Calibracion!$E$11:$E$20+A573))))/Calibracion!$C$21-Calibracion!$C$4</f>
        <v/>
      </c>
      <c r="C573" s="21">
        <f>ABS(B573)</f>
        <v/>
      </c>
    </row>
    <row r="574">
      <c r="A574" s="8">
        <f>A573+0.01</f>
        <v/>
      </c>
      <c r="B574" s="21">
        <f>SUMPRODUCT(Calibracion!$C$11:$C$20,1/(1+EXP(-(Calibracion!$E$11:$E$20+A574))))/Calibracion!$C$21-Calibracion!$C$4</f>
        <v/>
      </c>
      <c r="C574" s="21">
        <f>ABS(B574)</f>
        <v/>
      </c>
    </row>
    <row r="575">
      <c r="A575" s="8">
        <f>A574+0.01</f>
        <v/>
      </c>
      <c r="B575" s="21">
        <f>SUMPRODUCT(Calibracion!$C$11:$C$20,1/(1+EXP(-(Calibracion!$E$11:$E$20+A575))))/Calibracion!$C$21-Calibracion!$C$4</f>
        <v/>
      </c>
      <c r="C575" s="21">
        <f>ABS(B575)</f>
        <v/>
      </c>
    </row>
    <row r="576">
      <c r="A576" s="8">
        <f>A575+0.01</f>
        <v/>
      </c>
      <c r="B576" s="21">
        <f>SUMPRODUCT(Calibracion!$C$11:$C$20,1/(1+EXP(-(Calibracion!$E$11:$E$20+A576))))/Calibracion!$C$21-Calibracion!$C$4</f>
        <v/>
      </c>
      <c r="C576" s="21">
        <f>ABS(B576)</f>
        <v/>
      </c>
    </row>
    <row r="577">
      <c r="A577" s="8">
        <f>A576+0.01</f>
        <v/>
      </c>
      <c r="B577" s="21">
        <f>SUMPRODUCT(Calibracion!$C$11:$C$20,1/(1+EXP(-(Calibracion!$E$11:$E$20+A577))))/Calibracion!$C$21-Calibracion!$C$4</f>
        <v/>
      </c>
      <c r="C577" s="21">
        <f>ABS(B577)</f>
        <v/>
      </c>
    </row>
    <row r="578">
      <c r="A578" s="8">
        <f>A577+0.01</f>
        <v/>
      </c>
      <c r="B578" s="21">
        <f>SUMPRODUCT(Calibracion!$C$11:$C$20,1/(1+EXP(-(Calibracion!$E$11:$E$20+A578))))/Calibracion!$C$21-Calibracion!$C$4</f>
        <v/>
      </c>
      <c r="C578" s="21">
        <f>ABS(B578)</f>
        <v/>
      </c>
    </row>
    <row r="579">
      <c r="A579" s="8">
        <f>A578+0.01</f>
        <v/>
      </c>
      <c r="B579" s="21">
        <f>SUMPRODUCT(Calibracion!$C$11:$C$20,1/(1+EXP(-(Calibracion!$E$11:$E$20+A579))))/Calibracion!$C$21-Calibracion!$C$4</f>
        <v/>
      </c>
      <c r="C579" s="21">
        <f>ABS(B579)</f>
        <v/>
      </c>
    </row>
    <row r="580">
      <c r="A580" s="8">
        <f>A579+0.01</f>
        <v/>
      </c>
      <c r="B580" s="21">
        <f>SUMPRODUCT(Calibracion!$C$11:$C$20,1/(1+EXP(-(Calibracion!$E$11:$E$20+A580))))/Calibracion!$C$21-Calibracion!$C$4</f>
        <v/>
      </c>
      <c r="C580" s="21">
        <f>ABS(B580)</f>
        <v/>
      </c>
    </row>
    <row r="581">
      <c r="A581" s="8">
        <f>A580+0.01</f>
        <v/>
      </c>
      <c r="B581" s="21">
        <f>SUMPRODUCT(Calibracion!$C$11:$C$20,1/(1+EXP(-(Calibracion!$E$11:$E$20+A581))))/Calibracion!$C$21-Calibracion!$C$4</f>
        <v/>
      </c>
      <c r="C581" s="21">
        <f>ABS(B581)</f>
        <v/>
      </c>
    </row>
    <row r="582">
      <c r="A582" s="8">
        <f>A581+0.01</f>
        <v/>
      </c>
      <c r="B582" s="21">
        <f>SUMPRODUCT(Calibracion!$C$11:$C$20,1/(1+EXP(-(Calibracion!$E$11:$E$20+A582))))/Calibracion!$C$21-Calibracion!$C$4</f>
        <v/>
      </c>
      <c r="C582" s="21">
        <f>ABS(B582)</f>
        <v/>
      </c>
    </row>
    <row r="583">
      <c r="A583" s="8">
        <f>A582+0.01</f>
        <v/>
      </c>
      <c r="B583" s="21">
        <f>SUMPRODUCT(Calibracion!$C$11:$C$20,1/(1+EXP(-(Calibracion!$E$11:$E$20+A583))))/Calibracion!$C$21-Calibracion!$C$4</f>
        <v/>
      </c>
      <c r="C583" s="21">
        <f>ABS(B583)</f>
        <v/>
      </c>
    </row>
    <row r="584">
      <c r="A584" s="8">
        <f>A583+0.01</f>
        <v/>
      </c>
      <c r="B584" s="21">
        <f>SUMPRODUCT(Calibracion!$C$11:$C$20,1/(1+EXP(-(Calibracion!$E$11:$E$20+A584))))/Calibracion!$C$21-Calibracion!$C$4</f>
        <v/>
      </c>
      <c r="C584" s="21">
        <f>ABS(B584)</f>
        <v/>
      </c>
    </row>
    <row r="585">
      <c r="A585" s="8">
        <f>A584+0.01</f>
        <v/>
      </c>
      <c r="B585" s="21">
        <f>SUMPRODUCT(Calibracion!$C$11:$C$20,1/(1+EXP(-(Calibracion!$E$11:$E$20+A585))))/Calibracion!$C$21-Calibracion!$C$4</f>
        <v/>
      </c>
      <c r="C585" s="21">
        <f>ABS(B585)</f>
        <v/>
      </c>
    </row>
    <row r="586">
      <c r="A586" s="8">
        <f>A585+0.01</f>
        <v/>
      </c>
      <c r="B586" s="21">
        <f>SUMPRODUCT(Calibracion!$C$11:$C$20,1/(1+EXP(-(Calibracion!$E$11:$E$20+A586))))/Calibracion!$C$21-Calibracion!$C$4</f>
        <v/>
      </c>
      <c r="C586" s="21">
        <f>ABS(B586)</f>
        <v/>
      </c>
    </row>
    <row r="587">
      <c r="A587" s="8">
        <f>A586+0.01</f>
        <v/>
      </c>
      <c r="B587" s="21">
        <f>SUMPRODUCT(Calibracion!$C$11:$C$20,1/(1+EXP(-(Calibracion!$E$11:$E$20+A587))))/Calibracion!$C$21-Calibracion!$C$4</f>
        <v/>
      </c>
      <c r="C587" s="21">
        <f>ABS(B587)</f>
        <v/>
      </c>
    </row>
    <row r="588">
      <c r="A588" s="8">
        <f>A587+0.01</f>
        <v/>
      </c>
      <c r="B588" s="21">
        <f>SUMPRODUCT(Calibracion!$C$11:$C$20,1/(1+EXP(-(Calibracion!$E$11:$E$20+A588))))/Calibracion!$C$21-Calibracion!$C$4</f>
        <v/>
      </c>
      <c r="C588" s="21">
        <f>ABS(B588)</f>
        <v/>
      </c>
    </row>
    <row r="589">
      <c r="A589" s="8">
        <f>A588+0.01</f>
        <v/>
      </c>
      <c r="B589" s="21">
        <f>SUMPRODUCT(Calibracion!$C$11:$C$20,1/(1+EXP(-(Calibracion!$E$11:$E$20+A589))))/Calibracion!$C$21-Calibracion!$C$4</f>
        <v/>
      </c>
      <c r="C589" s="21">
        <f>ABS(B589)</f>
        <v/>
      </c>
    </row>
    <row r="590">
      <c r="A590" s="8">
        <f>A589+0.01</f>
        <v/>
      </c>
      <c r="B590" s="21">
        <f>SUMPRODUCT(Calibracion!$C$11:$C$20,1/(1+EXP(-(Calibracion!$E$11:$E$20+A590))))/Calibracion!$C$21-Calibracion!$C$4</f>
        <v/>
      </c>
      <c r="C590" s="21">
        <f>ABS(B590)</f>
        <v/>
      </c>
    </row>
    <row r="591">
      <c r="A591" s="8">
        <f>A590+0.01</f>
        <v/>
      </c>
      <c r="B591" s="21">
        <f>SUMPRODUCT(Calibracion!$C$11:$C$20,1/(1+EXP(-(Calibracion!$E$11:$E$20+A591))))/Calibracion!$C$21-Calibracion!$C$4</f>
        <v/>
      </c>
      <c r="C591" s="21">
        <f>ABS(B591)</f>
        <v/>
      </c>
    </row>
    <row r="592">
      <c r="A592" s="8">
        <f>A591+0.01</f>
        <v/>
      </c>
      <c r="B592" s="21">
        <f>SUMPRODUCT(Calibracion!$C$11:$C$20,1/(1+EXP(-(Calibracion!$E$11:$E$20+A592))))/Calibracion!$C$21-Calibracion!$C$4</f>
        <v/>
      </c>
      <c r="C592" s="21">
        <f>ABS(B592)</f>
        <v/>
      </c>
    </row>
    <row r="593">
      <c r="A593" s="8">
        <f>A592+0.01</f>
        <v/>
      </c>
      <c r="B593" s="21">
        <f>SUMPRODUCT(Calibracion!$C$11:$C$20,1/(1+EXP(-(Calibracion!$E$11:$E$20+A593))))/Calibracion!$C$21-Calibracion!$C$4</f>
        <v/>
      </c>
      <c r="C593" s="21">
        <f>ABS(B593)</f>
        <v/>
      </c>
    </row>
    <row r="594">
      <c r="A594" s="8">
        <f>A593+0.01</f>
        <v/>
      </c>
      <c r="B594" s="21">
        <f>SUMPRODUCT(Calibracion!$C$11:$C$20,1/(1+EXP(-(Calibracion!$E$11:$E$20+A594))))/Calibracion!$C$21-Calibracion!$C$4</f>
        <v/>
      </c>
      <c r="C594" s="21">
        <f>ABS(B594)</f>
        <v/>
      </c>
    </row>
    <row r="595">
      <c r="A595" s="8">
        <f>A594+0.01</f>
        <v/>
      </c>
      <c r="B595" s="21">
        <f>SUMPRODUCT(Calibracion!$C$11:$C$20,1/(1+EXP(-(Calibracion!$E$11:$E$20+A595))))/Calibracion!$C$21-Calibracion!$C$4</f>
        <v/>
      </c>
      <c r="C595" s="21">
        <f>ABS(B595)</f>
        <v/>
      </c>
    </row>
    <row r="596">
      <c r="A596" s="8">
        <f>A595+0.01</f>
        <v/>
      </c>
      <c r="B596" s="21">
        <f>SUMPRODUCT(Calibracion!$C$11:$C$20,1/(1+EXP(-(Calibracion!$E$11:$E$20+A596))))/Calibracion!$C$21-Calibracion!$C$4</f>
        <v/>
      </c>
      <c r="C596" s="21">
        <f>ABS(B596)</f>
        <v/>
      </c>
    </row>
    <row r="597">
      <c r="A597" s="8">
        <f>A596+0.01</f>
        <v/>
      </c>
      <c r="B597" s="21">
        <f>SUMPRODUCT(Calibracion!$C$11:$C$20,1/(1+EXP(-(Calibracion!$E$11:$E$20+A597))))/Calibracion!$C$21-Calibracion!$C$4</f>
        <v/>
      </c>
      <c r="C597" s="21">
        <f>ABS(B597)</f>
        <v/>
      </c>
    </row>
    <row r="598">
      <c r="A598" s="8">
        <f>A597+0.01</f>
        <v/>
      </c>
      <c r="B598" s="21">
        <f>SUMPRODUCT(Calibracion!$C$11:$C$20,1/(1+EXP(-(Calibracion!$E$11:$E$20+A598))))/Calibracion!$C$21-Calibracion!$C$4</f>
        <v/>
      </c>
      <c r="C598" s="21">
        <f>ABS(B598)</f>
        <v/>
      </c>
    </row>
    <row r="599">
      <c r="A599" s="8">
        <f>A598+0.01</f>
        <v/>
      </c>
      <c r="B599" s="21">
        <f>SUMPRODUCT(Calibracion!$C$11:$C$20,1/(1+EXP(-(Calibracion!$E$11:$E$20+A599))))/Calibracion!$C$21-Calibracion!$C$4</f>
        <v/>
      </c>
      <c r="C599" s="21">
        <f>ABS(B599)</f>
        <v/>
      </c>
    </row>
    <row r="600">
      <c r="A600" s="8">
        <f>A599+0.01</f>
        <v/>
      </c>
      <c r="B600" s="21">
        <f>SUMPRODUCT(Calibracion!$C$11:$C$20,1/(1+EXP(-(Calibracion!$E$11:$E$20+A600))))/Calibracion!$C$21-Calibracion!$C$4</f>
        <v/>
      </c>
      <c r="C600" s="21">
        <f>ABS(B600)</f>
        <v/>
      </c>
    </row>
    <row r="601">
      <c r="A601" s="8">
        <f>A600+0.01</f>
        <v/>
      </c>
      <c r="B601" s="21">
        <f>SUMPRODUCT(Calibracion!$C$11:$C$20,1/(1+EXP(-(Calibracion!$E$11:$E$20+A601))))/Calibracion!$C$21-Calibracion!$C$4</f>
        <v/>
      </c>
      <c r="C601" s="21">
        <f>ABS(B601)</f>
        <v/>
      </c>
    </row>
    <row r="602">
      <c r="A602" s="8">
        <f>A601+0.01</f>
        <v/>
      </c>
      <c r="B602" s="21">
        <f>SUMPRODUCT(Calibracion!$C$11:$C$20,1/(1+EXP(-(Calibracion!$E$11:$E$20+A602))))/Calibracion!$C$21-Calibracion!$C$4</f>
        <v/>
      </c>
      <c r="C602" s="21">
        <f>ABS(B602)</f>
        <v/>
      </c>
    </row>
    <row r="603">
      <c r="A603" s="8">
        <f>A602+0.01</f>
        <v/>
      </c>
      <c r="B603" s="21">
        <f>SUMPRODUCT(Calibracion!$C$11:$C$20,1/(1+EXP(-(Calibracion!$E$11:$E$20+A603))))/Calibracion!$C$21-Calibracion!$C$4</f>
        <v/>
      </c>
      <c r="C603" s="21">
        <f>ABS(B603)</f>
        <v/>
      </c>
    </row>
    <row r="604">
      <c r="A604" s="8">
        <f>A603+0.01</f>
        <v/>
      </c>
      <c r="B604" s="21">
        <f>SUMPRODUCT(Calibracion!$C$11:$C$20,1/(1+EXP(-(Calibracion!$E$11:$E$20+A604))))/Calibracion!$C$21-Calibracion!$C$4</f>
        <v/>
      </c>
      <c r="C604" s="21">
        <f>ABS(B604)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2026-09-28T06:03:58Z</dcterms:created>
  <dcterms:modified xmlns:dcterms="http://purl.org/dc/terms/" xmlns:xsi="http://www.w3.org/2001/XMLSchema-instance" xsi:type="dcterms:W3CDTF">2026-09-28T06:03:58Z</dcterms:modified>
</cp:coreProperties>
</file>