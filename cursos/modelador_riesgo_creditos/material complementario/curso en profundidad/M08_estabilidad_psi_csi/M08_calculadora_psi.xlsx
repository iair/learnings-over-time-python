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alculadora" sheetId="2" state="visible" r:id="rId2"/>
    <sheet xmlns:r="http://schemas.openxmlformats.org/officeDocument/2006/relationships" name="Umbral_por_n" sheetId="3" state="visible" r:id="rId3"/>
    <sheet xmlns:r="http://schemas.openxmlformats.org/officeDocument/2006/relationships" name="Austral_ban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00"/>
    <numFmt numFmtId="165" formatCode="0.0000"/>
    <numFmt numFmtId="166" formatCode="+0.00%;-0.00%;0.00%"/>
    <numFmt numFmtId="167" formatCode="0.00000"/>
    <numFmt numFmtId="168" formatCode="0.0E+00"/>
    <numFmt numFmtId="169" formatCode="0.0"/>
    <numFmt numFmtId="170" formatCode="0.0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FFF9C4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2" borderId="0" pivotButton="0" quotePrefix="0" xfId="0"/>
    <xf numFmtId="164" fontId="0" fillId="2" borderId="0" pivotButton="0" quotePrefix="0" xfId="0"/>
    <xf numFmtId="2" fontId="0" fillId="2" borderId="0" pivotButton="0" quotePrefix="0" xfId="0"/>
    <xf numFmtId="0" fontId="2" fillId="0" borderId="1" applyAlignment="1" pivotButton="0" quotePrefix="0" xfId="0">
      <alignment horizontal="center" wrapText="1"/>
    </xf>
    <xf numFmtId="0" fontId="0" fillId="2" borderId="0" pivotButton="0" quotePrefix="0" xfId="0"/>
    <xf numFmtId="10" fontId="0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0" fontId="2" fillId="3" borderId="0" pivotButton="0" quotePrefix="0" xfId="0"/>
    <xf numFmtId="167" fontId="2" fillId="3" borderId="0" pivotButton="0" quotePrefix="0" xfId="0"/>
    <xf numFmtId="164" fontId="2" fillId="3" borderId="0" pivotButton="0" quotePrefix="0" xfId="0"/>
    <xf numFmtId="1" fontId="2" fillId="3" borderId="0" pivotButton="0" quotePrefix="0" xfId="0"/>
    <xf numFmtId="49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164" fontId="2" fillId="0" borderId="0" pivotButton="0" quotePrefix="0" xfId="0"/>
    <xf numFmtId="1" fontId="2" fillId="0" borderId="0" pivotButton="0" quotePrefix="0" xfId="0"/>
    <xf numFmtId="2" fontId="2" fillId="0" borderId="0" pivotButton="0" quotePrefix="0" xfId="0"/>
    <xf numFmtId="165" fontId="2" fillId="0" borderId="0" pivotButton="0" quotePrefix="0" xfId="0"/>
    <xf numFmtId="169" fontId="2" fillId="0" borderId="0" pivotButton="0" quotePrefix="0" xfId="0"/>
    <xf numFmtId="170" fontId="2" fillId="0" borderId="0" pivotButton="0" quotePrefix="0" xfId="0"/>
    <xf numFmtId="3" fontId="0" fillId="2" borderId="0" pivotButton="0" quotePrefix="0" xfId="0"/>
    <xf numFmtId="10" fontId="0" fillId="0" borderId="0" pivotButton="0" quotePrefix="0" xfId="0"/>
    <xf numFmtId="0" fontId="2" fillId="0" borderId="1" pivotButton="0" quotePrefix="0" xfId="0"/>
    <xf numFmtId="169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</patternFill>
      </fill>
    </dxf>
    <dxf>
      <fill>
        <patternFill patternType="solid">
          <fgColor rgb="00FFF59D"/>
        </patternFill>
      </fill>
    </dxf>
    <dxf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M08 · Calculadora de PSI con lectura estadística</t>
        </is>
      </c>
    </row>
    <row r="2">
      <c r="A2" t="inlineStr">
        <is>
          <t>Serie 2 «Del embudo al gobierno» · módulo M08 (estabilidad poblacional: PSI, CSI)</t>
        </is>
      </c>
    </row>
    <row r="3">
      <c r="A3" t="inlineStr"/>
    </row>
    <row r="4">
      <c r="A4" s="2" t="inlineStr">
        <is>
          <t>Qué es</t>
        </is>
      </c>
    </row>
    <row r="5">
      <c r="A5" t="inlineStr">
        <is>
          <t>Ingresas el % esperado (DEV) y el % actual por bin (hasta 10 bins) y el tamaño de cada muestra.</t>
        </is>
      </c>
    </row>
    <row r="6">
      <c r="A6" t="inlineStr">
        <is>
          <t>La hoja calcula el aporte por bin, el PSI, KL en ambos sentidos (PSI = KL(a‖e) + KL(e‖a), divergencia de Jeffreys),</t>
        </is>
      </c>
    </row>
    <row r="7">
      <c r="A7" t="inlineStr">
        <is>
          <t>Jensen-Shannon, Hellinger, el estadístico χ² equivalente PSI/c con c = 1/n_e + 1/n_a, su p-valor (CHISQ.DIST.RT),</t>
        </is>
      </c>
    </row>
    <row r="8">
      <c r="A8" t="inlineStr">
        <is>
          <t>el χ² de homogeneidad exacto (Pearson), el crítico al 95% y dos semáforos: el del curso (0,10 / 0,25) y el estadístico.</t>
        </is>
      </c>
    </row>
    <row r="9">
      <c r="A9" t="inlineStr"/>
    </row>
    <row r="10">
      <c r="A10" s="2" t="inlineStr">
        <is>
          <t>Cómo usarla</t>
        </is>
      </c>
    </row>
    <row r="11">
      <c r="A11" t="inlineStr">
        <is>
          <t>1. Hoja «Calculadora»: cambia solo las celdas amarillas (parámetros, etiquetas de bin, % esperado, % actual).</t>
        </is>
      </c>
    </row>
    <row r="12">
      <c r="A12" t="inlineStr">
        <is>
          <t>2. Los % pueden ingresarse como proporción (0,10) o con formato %; deben sumar 1 en cada columna (hay control).</t>
        </is>
      </c>
    </row>
    <row r="13">
      <c r="A13" t="inlineStr">
        <is>
          <t>3. Si usas menos de 10 bins, deja en 0 ambas columnas de los bins sobrantes: no cuentan en los grados de libertad.</t>
        </is>
      </c>
    </row>
    <row r="14">
      <c r="A14" t="inlineStr">
        <is>
          <t>4. Hoja «Umbral_por_n»: crítico del PSI al 95%/99% y probabilidad de falsa alarma de la regla 0,10 según n y B.</t>
        </is>
      </c>
    </row>
    <row r="15">
      <c r="A15" t="inlineStr">
        <is>
          <t>5. Hoja «Austral_bandas»: el PSI del score del Banco Austral (clase 5, 8 bandas, DEV→TTD) recalculado en vivo.</t>
        </is>
      </c>
    </row>
    <row r="16">
      <c r="A16" t="inlineStr"/>
    </row>
    <row r="17">
      <c r="A17" s="2" t="inlineStr">
        <is>
          <t>Supuestos y advertencias</t>
        </is>
      </c>
    </row>
    <row r="18">
      <c r="A18" t="inlineStr">
        <is>
          <t>• ε se SUMA a cada proporción sin renormalizar (convención del psi() del curso, 1e-4). scipy.stats.entropy renormaliza: difiere en ~ε.</t>
        </is>
      </c>
    </row>
    <row r="19">
      <c r="A19" t="inlineStr">
        <is>
          <t>• La aproximación PSI/c ~ χ²(B−1) (Yurdakul y Naranjo, 2020) vale SIN drift, con muestras independientes, n grande y bins</t>
        </is>
      </c>
    </row>
    <row r="20">
      <c r="A20" t="inlineStr">
        <is>
          <t xml:space="preserve">  fijados de antemano; con cortes por cuantiles de DEV sigue siendo buena desde n ≈ 300 por muestra (ver notebook M08, §4).</t>
        </is>
      </c>
    </row>
    <row r="21">
      <c r="A21" t="inlineStr">
        <is>
          <t>• Observaciones autocorrelacionadas (el mismo cliente en varios meses) o muestras solapadas invalidan el p-valor (lo hacen optimista).</t>
        </is>
      </c>
    </row>
    <row r="22">
      <c r="A22" t="inlineStr">
        <is>
          <t>• p-valor chico = hay cambio; no dice si importa. Con n grande todo cambio es significativo: la materialidad se juzga aparte</t>
        </is>
      </c>
    </row>
    <row r="23">
      <c r="A23" t="inlineStr">
        <is>
          <t xml:space="preserve">  (magnitud del PSI, Δpuntos del score, impacto en aprobación y en PD). La celda «lectura combinada» separa ambas preguntas.</t>
        </is>
      </c>
    </row>
    <row r="24">
      <c r="A24" t="inlineStr">
        <is>
          <t>• Los umbrales 0,10 / 0,25 son convención de industria (Siddiqi), sin base inferencial: no dependen de n ni de B.</t>
        </is>
      </c>
    </row>
    <row r="25">
      <c r="A25" t="inlineStr">
        <is>
          <t>• Δ equivalente ≈ √PSI: corrimiento de media (en desviaciones estándar) que produciría ese PSI si la variable fuera normal</t>
        </is>
      </c>
    </row>
    <row r="26">
      <c r="A26" t="inlineStr">
        <is>
          <t xml:space="preserve">  y los bins muy finos (J = Δ² para dos normales de igual varianza). Con deciles el PSI subestima J en ~4%.</t>
        </is>
      </c>
    </row>
    <row r="27">
      <c r="A27" t="inlineStr">
        <is>
          <t>• Solo funciones estándar (LN, SQRT, SUM, SUMPRODUCT, IF, AND, CHISQ.DIST.RT, CHISQ.INV.RT): funciona en Excel y Google Sheets.</t>
        </is>
      </c>
    </row>
    <row r="28">
      <c r="A28" t="inlineStr"/>
    </row>
    <row r="29">
      <c r="A29" s="2" t="inlineStr">
        <is>
          <t>Ejemplo precargado</t>
        </is>
      </c>
    </row>
    <row r="30">
      <c r="A30" t="inlineStr">
        <is>
          <t>Deciles del score del Banco Austral, DEV (n = 3.322) vs TTD (n = 8.585), clase 3: el curso reporta PSI 0,015 («verde»).</t>
        </is>
      </c>
    </row>
    <row r="31">
      <c r="A31" t="inlineStr">
        <is>
          <t>La calculadora muestra que ese 0,015 es ~4 veces su valor esperado sin drift y tiene p ≈ 4e-5: cambio real, no material.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Calculadora de PSI (10 bins) · celdas amarillas = entradas</t>
        </is>
      </c>
    </row>
    <row r="3">
      <c r="A3" s="2" t="inlineStr">
        <is>
          <t>n esperado (n_e, DEV)</t>
        </is>
      </c>
      <c r="B3" s="3" t="n">
        <v>3322</v>
      </c>
    </row>
    <row r="4">
      <c r="A4" s="2" t="inlineStr">
        <is>
          <t>n actual (n_a)</t>
        </is>
      </c>
      <c r="B4" s="3" t="n">
        <v>8585</v>
      </c>
    </row>
    <row r="5">
      <c r="A5" s="2" t="inlineStr">
        <is>
          <t>ε sumado a las proporciones</t>
        </is>
      </c>
      <c r="B5" s="4" t="n">
        <v>0.0001</v>
      </c>
    </row>
    <row r="6">
      <c r="A6" s="2" t="inlineStr">
        <is>
          <t>umbral amarillo (curso)</t>
        </is>
      </c>
      <c r="B6" s="5" t="n">
        <v>0.1</v>
      </c>
    </row>
    <row r="7">
      <c r="A7" s="2" t="inlineStr">
        <is>
          <t>umbral rojo (curso)</t>
        </is>
      </c>
      <c r="B7" s="5" t="n">
        <v>0.25</v>
      </c>
    </row>
    <row r="8">
      <c r="A8" s="2" t="inlineStr">
        <is>
          <t>α (nivel del test)</t>
        </is>
      </c>
      <c r="B8" s="5" t="n">
        <v>0.05</v>
      </c>
    </row>
    <row r="11" ht="32" customHeight="1">
      <c r="A11" s="6" t="inlineStr">
        <is>
          <t>bin</t>
        </is>
      </c>
      <c r="B11" s="6" t="inlineStr">
        <is>
          <t>% esperado (e)</t>
        </is>
      </c>
      <c r="C11" s="6" t="inlineStr">
        <is>
          <t>% actual (a)</t>
        </is>
      </c>
      <c r="D11" s="6" t="inlineStr">
        <is>
          <t>e + ε</t>
        </is>
      </c>
      <c r="E11" s="6" t="inlineStr">
        <is>
          <t>a + ε</t>
        </is>
      </c>
      <c r="F11" s="6" t="inlineStr">
        <is>
          <t>a − e</t>
        </is>
      </c>
      <c r="G11" s="6" t="inlineStr">
        <is>
          <t>ln((a+ε)/(e+ε))</t>
        </is>
      </c>
      <c r="H11" s="6" t="inlineStr">
        <is>
          <t>aporte PSI</t>
        </is>
      </c>
      <c r="I11" s="6" t="inlineStr">
        <is>
          <t>término KL(a‖e)</t>
        </is>
      </c>
      <c r="J11" s="6" t="inlineStr">
        <is>
          <t>término KL(e‖a)</t>
        </is>
      </c>
      <c r="K11" s="6" t="inlineStr">
        <is>
          <t>dirección</t>
        </is>
      </c>
      <c r="L11" s="6" t="inlineStr">
        <is>
          <t>p̂ combinado</t>
        </is>
      </c>
      <c r="M11" s="6" t="inlineStr">
        <is>
          <t>(a−e)²/p̂</t>
        </is>
      </c>
      <c r="N11" s="6" t="inlineStr">
        <is>
          <t>bin activo</t>
        </is>
      </c>
      <c r="O11" s="6" t="inlineStr">
        <is>
          <t>conteo esperado</t>
        </is>
      </c>
      <c r="P11" s="6" t="inlineStr">
        <is>
          <t>conteo actual</t>
        </is>
      </c>
      <c r="Q11" s="6" t="inlineStr">
        <is>
          <t>término JS</t>
        </is>
      </c>
      <c r="R11" s="6" t="inlineStr">
        <is>
          <t>(√a−√e)²</t>
        </is>
      </c>
    </row>
    <row r="12">
      <c r="A12" s="7" t="inlineStr">
        <is>
          <t>decil 1</t>
        </is>
      </c>
      <c r="B12" s="8" t="n">
        <v>0.1</v>
      </c>
      <c r="C12" s="8" t="n">
        <v>0.12</v>
      </c>
      <c r="D12" s="9">
        <f>B12+$B$5</f>
        <v/>
      </c>
      <c r="E12" s="9">
        <f>C12+$B$5</f>
        <v/>
      </c>
      <c r="F12" s="10">
        <f>C12-B12</f>
        <v/>
      </c>
      <c r="G12" s="9">
        <f>IF(N12=1,LN(E12/D12),0)</f>
        <v/>
      </c>
      <c r="H12" s="11">
        <f>IF(N12=1,(E12-D12)*G12,0)</f>
        <v/>
      </c>
      <c r="I12" s="11">
        <f>IF(N12=1,E12*LN(E12/D12),0)</f>
        <v/>
      </c>
      <c r="J12" s="11">
        <f>IF(N12=1,D12*LN(D12/E12),0)</f>
        <v/>
      </c>
      <c r="K12" s="12">
        <f>IF(C12&gt;B12,"sube",IF(C12&lt;B12,"baja","igual"))</f>
        <v/>
      </c>
      <c r="L12" s="9">
        <f>($B$3*B12+$B$4*C12)/($B$3+$B$4)</f>
        <v/>
      </c>
      <c r="M12" s="13">
        <f>IF(L12&gt;0,(C12-B12)^2/L12,0)</f>
        <v/>
      </c>
      <c r="N12" s="14">
        <f>IF(B12+C12&gt;0,1,0)</f>
        <v/>
      </c>
      <c r="O12" s="14">
        <f>B12*$B$3</f>
        <v/>
      </c>
      <c r="P12" s="14">
        <f>C12*$B$4</f>
        <v/>
      </c>
      <c r="Q12" s="13">
        <f>IF(N12=1,0.5*E12*LN(E12/((D12+E12)/2))+0.5*D12*LN(D12/((D12+E12)/2)),0)</f>
        <v/>
      </c>
      <c r="R12" s="13">
        <f>(SQRT(E12)-SQRT(D12))^2</f>
        <v/>
      </c>
    </row>
    <row r="13">
      <c r="A13" s="7" t="inlineStr">
        <is>
          <t>decil 2</t>
        </is>
      </c>
      <c r="B13" s="8" t="n">
        <v>0.1</v>
      </c>
      <c r="C13" s="8" t="n">
        <v>0.118</v>
      </c>
      <c r="D13" s="9">
        <f>B13+$B$5</f>
        <v/>
      </c>
      <c r="E13" s="9">
        <f>C13+$B$5</f>
        <v/>
      </c>
      <c r="F13" s="10">
        <f>C13-B13</f>
        <v/>
      </c>
      <c r="G13" s="9">
        <f>IF(N13=1,LN(E13/D13),0)</f>
        <v/>
      </c>
      <c r="H13" s="11">
        <f>IF(N13=1,(E13-D13)*G13,0)</f>
        <v/>
      </c>
      <c r="I13" s="11">
        <f>IF(N13=1,E13*LN(E13/D13),0)</f>
        <v/>
      </c>
      <c r="J13" s="11">
        <f>IF(N13=1,D13*LN(D13/E13),0)</f>
        <v/>
      </c>
      <c r="K13" s="12">
        <f>IF(C13&gt;B13,"sube",IF(C13&lt;B13,"baja","igual"))</f>
        <v/>
      </c>
      <c r="L13" s="9">
        <f>($B$3*B13+$B$4*C13)/($B$3+$B$4)</f>
        <v/>
      </c>
      <c r="M13" s="13">
        <f>IF(L13&gt;0,(C13-B13)^2/L13,0)</f>
        <v/>
      </c>
      <c r="N13" s="14">
        <f>IF(B13+C13&gt;0,1,0)</f>
        <v/>
      </c>
      <c r="O13" s="14">
        <f>B13*$B$3</f>
        <v/>
      </c>
      <c r="P13" s="14">
        <f>C13*$B$4</f>
        <v/>
      </c>
      <c r="Q13" s="13">
        <f>IF(N13=1,0.5*E13*LN(E13/((D13+E13)/2))+0.5*D13*LN(D13/((D13+E13)/2)),0)</f>
        <v/>
      </c>
      <c r="R13" s="13">
        <f>(SQRT(E13)-SQRT(D13))^2</f>
        <v/>
      </c>
    </row>
    <row r="14">
      <c r="A14" s="7" t="inlineStr">
        <is>
          <t>decil 3</t>
        </is>
      </c>
      <c r="B14" s="8" t="n">
        <v>0.1</v>
      </c>
      <c r="C14" s="8" t="n">
        <v>0.101</v>
      </c>
      <c r="D14" s="9">
        <f>B14+$B$5</f>
        <v/>
      </c>
      <c r="E14" s="9">
        <f>C14+$B$5</f>
        <v/>
      </c>
      <c r="F14" s="10">
        <f>C14-B14</f>
        <v/>
      </c>
      <c r="G14" s="9">
        <f>IF(N14=1,LN(E14/D14),0)</f>
        <v/>
      </c>
      <c r="H14" s="11">
        <f>IF(N14=1,(E14-D14)*G14,0)</f>
        <v/>
      </c>
      <c r="I14" s="11">
        <f>IF(N14=1,E14*LN(E14/D14),0)</f>
        <v/>
      </c>
      <c r="J14" s="11">
        <f>IF(N14=1,D14*LN(D14/E14),0)</f>
        <v/>
      </c>
      <c r="K14" s="12">
        <f>IF(C14&gt;B14,"sube",IF(C14&lt;B14,"baja","igual"))</f>
        <v/>
      </c>
      <c r="L14" s="9">
        <f>($B$3*B14+$B$4*C14)/($B$3+$B$4)</f>
        <v/>
      </c>
      <c r="M14" s="13">
        <f>IF(L14&gt;0,(C14-B14)^2/L14,0)</f>
        <v/>
      </c>
      <c r="N14" s="14">
        <f>IF(B14+C14&gt;0,1,0)</f>
        <v/>
      </c>
      <c r="O14" s="14">
        <f>B14*$B$3</f>
        <v/>
      </c>
      <c r="P14" s="14">
        <f>C14*$B$4</f>
        <v/>
      </c>
      <c r="Q14" s="13">
        <f>IF(N14=1,0.5*E14*LN(E14/((D14+E14)/2))+0.5*D14*LN(D14/((D14+E14)/2)),0)</f>
        <v/>
      </c>
      <c r="R14" s="13">
        <f>(SQRT(E14)-SQRT(D14))^2</f>
        <v/>
      </c>
    </row>
    <row r="15">
      <c r="A15" s="7" t="inlineStr">
        <is>
          <t>decil 4</t>
        </is>
      </c>
      <c r="B15" s="8" t="n">
        <v>0.1</v>
      </c>
      <c r="C15" s="8" t="n">
        <v>0.107</v>
      </c>
      <c r="D15" s="9">
        <f>B15+$B$5</f>
        <v/>
      </c>
      <c r="E15" s="9">
        <f>C15+$B$5</f>
        <v/>
      </c>
      <c r="F15" s="10">
        <f>C15-B15</f>
        <v/>
      </c>
      <c r="G15" s="9">
        <f>IF(N15=1,LN(E15/D15),0)</f>
        <v/>
      </c>
      <c r="H15" s="11">
        <f>IF(N15=1,(E15-D15)*G15,0)</f>
        <v/>
      </c>
      <c r="I15" s="11">
        <f>IF(N15=1,E15*LN(E15/D15),0)</f>
        <v/>
      </c>
      <c r="J15" s="11">
        <f>IF(N15=1,D15*LN(D15/E15),0)</f>
        <v/>
      </c>
      <c r="K15" s="12">
        <f>IF(C15&gt;B15,"sube",IF(C15&lt;B15,"baja","igual"))</f>
        <v/>
      </c>
      <c r="L15" s="9">
        <f>($B$3*B15+$B$4*C15)/($B$3+$B$4)</f>
        <v/>
      </c>
      <c r="M15" s="13">
        <f>IF(L15&gt;0,(C15-B15)^2/L15,0)</f>
        <v/>
      </c>
      <c r="N15" s="14">
        <f>IF(B15+C15&gt;0,1,0)</f>
        <v/>
      </c>
      <c r="O15" s="14">
        <f>B15*$B$3</f>
        <v/>
      </c>
      <c r="P15" s="14">
        <f>C15*$B$4</f>
        <v/>
      </c>
      <c r="Q15" s="13">
        <f>IF(N15=1,0.5*E15*LN(E15/((D15+E15)/2))+0.5*D15*LN(D15/((D15+E15)/2)),0)</f>
        <v/>
      </c>
      <c r="R15" s="13">
        <f>(SQRT(E15)-SQRT(D15))^2</f>
        <v/>
      </c>
    </row>
    <row r="16">
      <c r="A16" s="7" t="inlineStr">
        <is>
          <t>decil 5</t>
        </is>
      </c>
      <c r="B16" s="8" t="n">
        <v>0.1</v>
      </c>
      <c r="C16" s="8" t="n">
        <v>0.108</v>
      </c>
      <c r="D16" s="9">
        <f>B16+$B$5</f>
        <v/>
      </c>
      <c r="E16" s="9">
        <f>C16+$B$5</f>
        <v/>
      </c>
      <c r="F16" s="10">
        <f>C16-B16</f>
        <v/>
      </c>
      <c r="G16" s="9">
        <f>IF(N16=1,LN(E16/D16),0)</f>
        <v/>
      </c>
      <c r="H16" s="11">
        <f>IF(N16=1,(E16-D16)*G16,0)</f>
        <v/>
      </c>
      <c r="I16" s="11">
        <f>IF(N16=1,E16*LN(E16/D16),0)</f>
        <v/>
      </c>
      <c r="J16" s="11">
        <f>IF(N16=1,D16*LN(D16/E16),0)</f>
        <v/>
      </c>
      <c r="K16" s="12">
        <f>IF(C16&gt;B16,"sube",IF(C16&lt;B16,"baja","igual"))</f>
        <v/>
      </c>
      <c r="L16" s="9">
        <f>($B$3*B16+$B$4*C16)/($B$3+$B$4)</f>
        <v/>
      </c>
      <c r="M16" s="13">
        <f>IF(L16&gt;0,(C16-B16)^2/L16,0)</f>
        <v/>
      </c>
      <c r="N16" s="14">
        <f>IF(B16+C16&gt;0,1,0)</f>
        <v/>
      </c>
      <c r="O16" s="14">
        <f>B16*$B$3</f>
        <v/>
      </c>
      <c r="P16" s="14">
        <f>C16*$B$4</f>
        <v/>
      </c>
      <c r="Q16" s="13">
        <f>IF(N16=1,0.5*E16*LN(E16/((D16+E16)/2))+0.5*D16*LN(D16/((D16+E16)/2)),0)</f>
        <v/>
      </c>
      <c r="R16" s="13">
        <f>(SQRT(E16)-SQRT(D16))^2</f>
        <v/>
      </c>
    </row>
    <row r="17">
      <c r="A17" s="7" t="inlineStr">
        <is>
          <t>decil 6</t>
        </is>
      </c>
      <c r="B17" s="8" t="n">
        <v>0.1</v>
      </c>
      <c r="C17" s="8" t="n">
        <v>0.094</v>
      </c>
      <c r="D17" s="9">
        <f>B17+$B$5</f>
        <v/>
      </c>
      <c r="E17" s="9">
        <f>C17+$B$5</f>
        <v/>
      </c>
      <c r="F17" s="10">
        <f>C17-B17</f>
        <v/>
      </c>
      <c r="G17" s="9">
        <f>IF(N17=1,LN(E17/D17),0)</f>
        <v/>
      </c>
      <c r="H17" s="11">
        <f>IF(N17=1,(E17-D17)*G17,0)</f>
        <v/>
      </c>
      <c r="I17" s="11">
        <f>IF(N17=1,E17*LN(E17/D17),0)</f>
        <v/>
      </c>
      <c r="J17" s="11">
        <f>IF(N17=1,D17*LN(D17/E17),0)</f>
        <v/>
      </c>
      <c r="K17" s="12">
        <f>IF(C17&gt;B17,"sube",IF(C17&lt;B17,"baja","igual"))</f>
        <v/>
      </c>
      <c r="L17" s="9">
        <f>($B$3*B17+$B$4*C17)/($B$3+$B$4)</f>
        <v/>
      </c>
      <c r="M17" s="13">
        <f>IF(L17&gt;0,(C17-B17)^2/L17,0)</f>
        <v/>
      </c>
      <c r="N17" s="14">
        <f>IF(B17+C17&gt;0,1,0)</f>
        <v/>
      </c>
      <c r="O17" s="14">
        <f>B17*$B$3</f>
        <v/>
      </c>
      <c r="P17" s="14">
        <f>C17*$B$4</f>
        <v/>
      </c>
      <c r="Q17" s="13">
        <f>IF(N17=1,0.5*E17*LN(E17/((D17+E17)/2))+0.5*D17*LN(D17/((D17+E17)/2)),0)</f>
        <v/>
      </c>
      <c r="R17" s="13">
        <f>(SQRT(E17)-SQRT(D17))^2</f>
        <v/>
      </c>
    </row>
    <row r="18">
      <c r="A18" s="7" t="inlineStr">
        <is>
          <t>decil 7</t>
        </is>
      </c>
      <c r="B18" s="8" t="n">
        <v>0.1</v>
      </c>
      <c r="C18" s="8" t="n">
        <v>0.08699999999999999</v>
      </c>
      <c r="D18" s="9">
        <f>B18+$B$5</f>
        <v/>
      </c>
      <c r="E18" s="9">
        <f>C18+$B$5</f>
        <v/>
      </c>
      <c r="F18" s="10">
        <f>C18-B18</f>
        <v/>
      </c>
      <c r="G18" s="9">
        <f>IF(N18=1,LN(E18/D18),0)</f>
        <v/>
      </c>
      <c r="H18" s="11">
        <f>IF(N18=1,(E18-D18)*G18,0)</f>
        <v/>
      </c>
      <c r="I18" s="11">
        <f>IF(N18=1,E18*LN(E18/D18),0)</f>
        <v/>
      </c>
      <c r="J18" s="11">
        <f>IF(N18=1,D18*LN(D18/E18),0)</f>
        <v/>
      </c>
      <c r="K18" s="12">
        <f>IF(C18&gt;B18,"sube",IF(C18&lt;B18,"baja","igual"))</f>
        <v/>
      </c>
      <c r="L18" s="9">
        <f>($B$3*B18+$B$4*C18)/($B$3+$B$4)</f>
        <v/>
      </c>
      <c r="M18" s="13">
        <f>IF(L18&gt;0,(C18-B18)^2/L18,0)</f>
        <v/>
      </c>
      <c r="N18" s="14">
        <f>IF(B18+C18&gt;0,1,0)</f>
        <v/>
      </c>
      <c r="O18" s="14">
        <f>B18*$B$3</f>
        <v/>
      </c>
      <c r="P18" s="14">
        <f>C18*$B$4</f>
        <v/>
      </c>
      <c r="Q18" s="13">
        <f>IF(N18=1,0.5*E18*LN(E18/((D18+E18)/2))+0.5*D18*LN(D18/((D18+E18)/2)),0)</f>
        <v/>
      </c>
      <c r="R18" s="13">
        <f>(SQRT(E18)-SQRT(D18))^2</f>
        <v/>
      </c>
    </row>
    <row r="19">
      <c r="A19" s="7" t="inlineStr">
        <is>
          <t>decil 8</t>
        </is>
      </c>
      <c r="B19" s="8" t="n">
        <v>0.1</v>
      </c>
      <c r="C19" s="8" t="n">
        <v>0.093</v>
      </c>
      <c r="D19" s="9">
        <f>B19+$B$5</f>
        <v/>
      </c>
      <c r="E19" s="9">
        <f>C19+$B$5</f>
        <v/>
      </c>
      <c r="F19" s="10">
        <f>C19-B19</f>
        <v/>
      </c>
      <c r="G19" s="9">
        <f>IF(N19=1,LN(E19/D19),0)</f>
        <v/>
      </c>
      <c r="H19" s="11">
        <f>IF(N19=1,(E19-D19)*G19,0)</f>
        <v/>
      </c>
      <c r="I19" s="11">
        <f>IF(N19=1,E19*LN(E19/D19),0)</f>
        <v/>
      </c>
      <c r="J19" s="11">
        <f>IF(N19=1,D19*LN(D19/E19),0)</f>
        <v/>
      </c>
      <c r="K19" s="12">
        <f>IF(C19&gt;B19,"sube",IF(C19&lt;B19,"baja","igual"))</f>
        <v/>
      </c>
      <c r="L19" s="9">
        <f>($B$3*B19+$B$4*C19)/($B$3+$B$4)</f>
        <v/>
      </c>
      <c r="M19" s="13">
        <f>IF(L19&gt;0,(C19-B19)^2/L19,0)</f>
        <v/>
      </c>
      <c r="N19" s="14">
        <f>IF(B19+C19&gt;0,1,0)</f>
        <v/>
      </c>
      <c r="O19" s="14">
        <f>B19*$B$3</f>
        <v/>
      </c>
      <c r="P19" s="14">
        <f>C19*$B$4</f>
        <v/>
      </c>
      <c r="Q19" s="13">
        <f>IF(N19=1,0.5*E19*LN(E19/((D19+E19)/2))+0.5*D19*LN(D19/((D19+E19)/2)),0)</f>
        <v/>
      </c>
      <c r="R19" s="13">
        <f>(SQRT(E19)-SQRT(D19))^2</f>
        <v/>
      </c>
    </row>
    <row r="20">
      <c r="A20" s="7" t="inlineStr">
        <is>
          <t>decil 9</t>
        </is>
      </c>
      <c r="B20" s="8" t="n">
        <v>0.1</v>
      </c>
      <c r="C20" s="8" t="n">
        <v>0.08400000000000001</v>
      </c>
      <c r="D20" s="9">
        <f>B20+$B$5</f>
        <v/>
      </c>
      <c r="E20" s="9">
        <f>C20+$B$5</f>
        <v/>
      </c>
      <c r="F20" s="10">
        <f>C20-B20</f>
        <v/>
      </c>
      <c r="G20" s="9">
        <f>IF(N20=1,LN(E20/D20),0)</f>
        <v/>
      </c>
      <c r="H20" s="11">
        <f>IF(N20=1,(E20-D20)*G20,0)</f>
        <v/>
      </c>
      <c r="I20" s="11">
        <f>IF(N20=1,E20*LN(E20/D20),0)</f>
        <v/>
      </c>
      <c r="J20" s="11">
        <f>IF(N20=1,D20*LN(D20/E20),0)</f>
        <v/>
      </c>
      <c r="K20" s="12">
        <f>IF(C20&gt;B20,"sube",IF(C20&lt;B20,"baja","igual"))</f>
        <v/>
      </c>
      <c r="L20" s="9">
        <f>($B$3*B20+$B$4*C20)/($B$3+$B$4)</f>
        <v/>
      </c>
      <c r="M20" s="13">
        <f>IF(L20&gt;0,(C20-B20)^2/L20,0)</f>
        <v/>
      </c>
      <c r="N20" s="14">
        <f>IF(B20+C20&gt;0,1,0)</f>
        <v/>
      </c>
      <c r="O20" s="14">
        <f>B20*$B$3</f>
        <v/>
      </c>
      <c r="P20" s="14">
        <f>C20*$B$4</f>
        <v/>
      </c>
      <c r="Q20" s="13">
        <f>IF(N20=1,0.5*E20*LN(E20/((D20+E20)/2))+0.5*D20*LN(D20/((D20+E20)/2)),0)</f>
        <v/>
      </c>
      <c r="R20" s="13">
        <f>(SQRT(E20)-SQRT(D20))^2</f>
        <v/>
      </c>
    </row>
    <row r="21">
      <c r="A21" s="7" t="inlineStr">
        <is>
          <t>decil 10</t>
        </is>
      </c>
      <c r="B21" s="8" t="n">
        <v>0.1</v>
      </c>
      <c r="C21" s="8" t="n">
        <v>0.08799999999999999</v>
      </c>
      <c r="D21" s="9">
        <f>B21+$B$5</f>
        <v/>
      </c>
      <c r="E21" s="9">
        <f>C21+$B$5</f>
        <v/>
      </c>
      <c r="F21" s="10">
        <f>C21-B21</f>
        <v/>
      </c>
      <c r="G21" s="9">
        <f>IF(N21=1,LN(E21/D21),0)</f>
        <v/>
      </c>
      <c r="H21" s="11">
        <f>IF(N21=1,(E21-D21)*G21,0)</f>
        <v/>
      </c>
      <c r="I21" s="11">
        <f>IF(N21=1,E21*LN(E21/D21),0)</f>
        <v/>
      </c>
      <c r="J21" s="11">
        <f>IF(N21=1,D21*LN(D21/E21),0)</f>
        <v/>
      </c>
      <c r="K21" s="12">
        <f>IF(C21&gt;B21,"sube",IF(C21&lt;B21,"baja","igual"))</f>
        <v/>
      </c>
      <c r="L21" s="9">
        <f>($B$3*B21+$B$4*C21)/($B$3+$B$4)</f>
        <v/>
      </c>
      <c r="M21" s="13">
        <f>IF(L21&gt;0,(C21-B21)^2/L21,0)</f>
        <v/>
      </c>
      <c r="N21" s="14">
        <f>IF(B21+C21&gt;0,1,0)</f>
        <v/>
      </c>
      <c r="O21" s="14">
        <f>B21*$B$3</f>
        <v/>
      </c>
      <c r="P21" s="14">
        <f>C21*$B$4</f>
        <v/>
      </c>
      <c r="Q21" s="13">
        <f>IF(N21=1,0.5*E21*LN(E21/((D21+E21)/2))+0.5*D21*LN(D21/((D21+E21)/2)),0)</f>
        <v/>
      </c>
      <c r="R21" s="13">
        <f>(SQRT(E21)-SQRT(D21))^2</f>
        <v/>
      </c>
    </row>
    <row r="22">
      <c r="A22" s="2" t="inlineStr">
        <is>
          <t>Total</t>
        </is>
      </c>
      <c r="B22" s="15">
        <f>SUM(B12:B21)</f>
        <v/>
      </c>
      <c r="C22" s="15">
        <f>SUM(C12:C21)</f>
        <v/>
      </c>
      <c r="H22" s="16">
        <f>SUM(H12:H21)</f>
        <v/>
      </c>
      <c r="I22" s="16">
        <f>SUM(I12:I21)</f>
        <v/>
      </c>
      <c r="J22" s="16">
        <f>SUM(J12:J21)</f>
        <v/>
      </c>
      <c r="M22" s="17">
        <f>SUM(M12:M21)</f>
        <v/>
      </c>
      <c r="N22" s="18">
        <f>SUM(N12:N21)</f>
        <v/>
      </c>
      <c r="O22" s="18">
        <f>SUM(O12:O21)</f>
        <v/>
      </c>
      <c r="P22" s="18">
        <f>SUM(P12:P21)</f>
        <v/>
      </c>
      <c r="Q22" s="17">
        <f>SUM(Q12:Q21)</f>
        <v/>
      </c>
      <c r="R22" s="17">
        <f>SUM(R12:R21)</f>
        <v/>
      </c>
    </row>
    <row r="24">
      <c r="A24" s="1" t="inlineStr">
        <is>
          <t>Resultados</t>
        </is>
      </c>
    </row>
    <row r="25">
      <c r="A25" t="inlineStr">
        <is>
          <t>Control: ¿% esperado y % actual suman 1?</t>
        </is>
      </c>
      <c r="B25" s="19">
        <f>IF(AND(ABS(B22-1)&lt;0.001,ABS(C22-1)&lt;0.001),"OK","REVISAR: no suman 100%")</f>
        <v/>
      </c>
    </row>
    <row r="26">
      <c r="A26" t="inlineStr">
        <is>
          <t>PSI</t>
        </is>
      </c>
      <c r="B26" s="20">
        <f>H22</f>
        <v/>
      </c>
    </row>
    <row r="27">
      <c r="A27" t="inlineStr">
        <is>
          <t>KL(a‖e)</t>
        </is>
      </c>
      <c r="B27" s="20">
        <f>I22</f>
        <v/>
      </c>
    </row>
    <row r="28">
      <c r="A28" t="inlineStr">
        <is>
          <t>KL(e‖a)</t>
        </is>
      </c>
      <c r="B28" s="20">
        <f>J22</f>
        <v/>
      </c>
    </row>
    <row r="29">
      <c r="A29" t="inlineStr">
        <is>
          <t>Control: PSI − KL(a‖e) − KL(e‖a) (debe ser 0)</t>
        </is>
      </c>
      <c r="B29" s="21">
        <f>H22-I22-J22</f>
        <v/>
      </c>
    </row>
    <row r="30">
      <c r="A30" t="inlineStr">
        <is>
          <t>Jensen-Shannon (nats) · ≈ PSI/8 si el drift es chico</t>
        </is>
      </c>
      <c r="B30" s="22">
        <f>Q22</f>
        <v/>
      </c>
    </row>
    <row r="31">
      <c r="A31" t="inlineStr">
        <is>
          <t>Hellinger H = √(½Σ(√a−√e)²) · H² ≈ PSI/8</t>
        </is>
      </c>
      <c r="B31" s="20">
        <f>SQRT(0.5*R22)</f>
        <v/>
      </c>
    </row>
    <row r="32">
      <c r="A32" t="inlineStr">
        <is>
          <t>Bins activos B</t>
        </is>
      </c>
      <c r="B32" s="23">
        <f>N22</f>
        <v/>
      </c>
    </row>
    <row r="33">
      <c r="A33" t="inlineStr">
        <is>
          <t>Grados de libertad (B − 1)</t>
        </is>
      </c>
      <c r="B33" s="23">
        <f>MAX(N22-1,1)</f>
        <v/>
      </c>
    </row>
    <row r="34">
      <c r="A34" t="inlineStr">
        <is>
          <t>c = 1/n_e + 1/n_a</t>
        </is>
      </c>
      <c r="B34" s="22">
        <f>1/B3+1/B4</f>
        <v/>
      </c>
    </row>
    <row r="35">
      <c r="A35" t="inlineStr">
        <is>
          <t>E[PSI | sin drift] ≈ (B−1)·c</t>
        </is>
      </c>
      <c r="B35" s="20">
        <f>B33*B34</f>
        <v/>
      </c>
    </row>
    <row r="36">
      <c r="A36" t="inlineStr">
        <is>
          <t>PSI crítico al (1−α) = c·χ²(1−α; B−1)</t>
        </is>
      </c>
      <c r="B36" s="20">
        <f>B34*_xlfn.CHISQ.INV.RT(B8,B33)</f>
        <v/>
      </c>
    </row>
    <row r="37">
      <c r="A37" t="inlineStr">
        <is>
          <t>Estadístico χ² equivalente = PSI / c</t>
        </is>
      </c>
      <c r="B37" s="24">
        <f>B26/B34</f>
        <v/>
      </c>
    </row>
    <row r="38">
      <c r="A38" t="inlineStr">
        <is>
          <t>p-valor del PSI  (CHISQ.DIST.RT)</t>
        </is>
      </c>
      <c r="B38" s="25">
        <f>_xlfn.CHISQ.DIST.RT(B37,B33)</f>
        <v/>
      </c>
    </row>
    <row r="39">
      <c r="A39" t="inlineStr">
        <is>
          <t>χ² de homogeneidad exacto (Pearson) = Σ(a−e)²/p̂ / c</t>
        </is>
      </c>
      <c r="B39" s="24">
        <f>M22/B34</f>
        <v/>
      </c>
    </row>
    <row r="40">
      <c r="A40" t="inlineStr">
        <is>
          <t>p-valor χ² de homogeneidad</t>
        </is>
      </c>
      <c r="B40" s="25">
        <f>_xlfn.CHISQ.DIST.RT(B39,B33)</f>
        <v/>
      </c>
    </row>
    <row r="41">
      <c r="A41" t="inlineStr">
        <is>
          <t>PSI / E[PSI | sin drift]  (veces el ruido esperado)</t>
        </is>
      </c>
      <c r="B41" s="26">
        <f>B26/B35</f>
        <v/>
      </c>
    </row>
    <row r="42">
      <c r="A42" t="inlineStr">
        <is>
          <t>Δ equivalente ≈ √PSI (corrimiento de media en DE, supuesto normal)</t>
        </is>
      </c>
      <c r="B42" s="27">
        <f>SQRT(MAX(B26,0))</f>
        <v/>
      </c>
    </row>
    <row r="43">
      <c r="A43" t="inlineStr">
        <is>
          <t>Semáforo del curso (0,10 / 0,25)</t>
        </is>
      </c>
      <c r="B43" s="19">
        <f>IF(B26&gt;B7,"ROJO",IF(B26&gt;B6,"AMARILLO","VERDE"))</f>
        <v/>
      </c>
    </row>
    <row r="44">
      <c r="A44" t="inlineStr">
        <is>
          <t>Semáforo estadístico (p &lt; α)</t>
        </is>
      </c>
      <c r="B44" s="19">
        <f>IF(B38&lt;B8,"CAMBIO SIGNIFICATIVO","SIN EVIDENCIA DE CAMBIO")</f>
        <v/>
      </c>
    </row>
    <row r="45">
      <c r="A45" t="inlineStr">
        <is>
          <t>Lectura combinada</t>
        </is>
      </c>
      <c r="B45" s="19">
        <f>IF(AND(B38&lt;B8,B26&gt;B6),"Cambio real y material: investigar y escalar",IF(B38&lt;B8,"Cambio real pero no material: registrar y vigilar tendencia",IF(B26&gt;B6,"PSI alto pero compatible con ruido (n chico): no concluir, acumular datos","Estable: sin evidencia de cambio")))</f>
        <v/>
      </c>
    </row>
  </sheetData>
  <conditionalFormatting sqref="B43">
    <cfRule type="expression" priority="1" dxfId="0">
      <formula>B43="VERDE"</formula>
    </cfRule>
    <cfRule type="expression" priority="2" dxfId="1">
      <formula>B43="AMARILLO"</formula>
    </cfRule>
    <cfRule type="expression" priority="3" dxfId="2">
      <formula>B43="ROJO"</formula>
    </cfRule>
  </conditionalFormatting>
  <conditionalFormatting sqref="B44">
    <cfRule type="expression" priority="4" dxfId="1">
      <formula>B44="CAMBIO SIGNIFICATIVO"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Crítico del PSI sin drift según n y B (aproximación PSI/c ~ χ²(B−1))</t>
        </is>
      </c>
    </row>
    <row r="3">
      <c r="A3" s="2" t="inlineStr">
        <is>
          <t>Bins B</t>
        </is>
      </c>
      <c r="B3" s="3" t="n">
        <v>10</v>
      </c>
    </row>
    <row r="4">
      <c r="A4" s="2" t="inlineStr">
        <is>
          <t>α</t>
        </is>
      </c>
      <c r="B4" s="5" t="n">
        <v>0.05</v>
      </c>
    </row>
    <row r="5">
      <c r="A5" s="2" t="inlineStr">
        <is>
          <t>n_e fijo (esquema DEV congelado)</t>
        </is>
      </c>
      <c r="B5" s="3" t="n">
        <v>3322</v>
      </c>
    </row>
    <row r="6">
      <c r="A6" s="2" t="inlineStr">
        <is>
          <t>umbral del curso a evaluar</t>
        </is>
      </c>
      <c r="B6" s="5" t="n">
        <v>0.1</v>
      </c>
    </row>
    <row r="8" ht="45" customHeight="1">
      <c r="A8" s="6" t="inlineStr">
        <is>
          <t>n (por muestra)</t>
        </is>
      </c>
      <c r="B8" s="6" t="inlineStr">
        <is>
          <t>c = 2/n</t>
        </is>
      </c>
      <c r="C8" s="6" t="inlineStr">
        <is>
          <t>E[PSI] = (B−1)c</t>
        </is>
      </c>
      <c r="D8" s="6" t="inlineStr">
        <is>
          <t>crítico (1−α)</t>
        </is>
      </c>
      <c r="E8" s="6" t="inlineStr">
        <is>
          <t>crítico 99%</t>
        </is>
      </c>
      <c r="F8" s="6" t="inlineStr">
        <is>
          <t>P(PSI &gt; umbral | sin drift)</t>
        </is>
      </c>
      <c r="G8" s="6" t="inlineStr">
        <is>
          <t>P(PSI &gt; 0,25 | sin drift)</t>
        </is>
      </c>
      <c r="H8" s="6" t="inlineStr">
        <is>
          <t>c con n_e fijo</t>
        </is>
      </c>
      <c r="I8" s="6" t="inlineStr">
        <is>
          <t>crítico (1−α) n_e fijo</t>
        </is>
      </c>
      <c r="J8" s="6" t="inlineStr">
        <is>
          <t>P(PSI &gt; umbral) n_e fijo</t>
        </is>
      </c>
    </row>
    <row r="9">
      <c r="A9" s="28" t="n">
        <v>50</v>
      </c>
      <c r="B9" s="13">
        <f>2/A9</f>
        <v/>
      </c>
      <c r="C9" s="11">
        <f>($B$3-1)*B9</f>
        <v/>
      </c>
      <c r="D9" s="11">
        <f>B9*_xlfn.CHISQ.INV.RT($B$4,$B$3-1)</f>
        <v/>
      </c>
      <c r="E9" s="11">
        <f>B9*_xlfn.CHISQ.INV.RT(0.01,$B$3-1)</f>
        <v/>
      </c>
      <c r="F9" s="29">
        <f>_xlfn.CHISQ.DIST.RT($B$6/B9,$B$3-1)</f>
        <v/>
      </c>
      <c r="G9" s="29">
        <f>_xlfn.CHISQ.DIST.RT(0.25/B9,$B$3-1)</f>
        <v/>
      </c>
      <c r="H9" s="13">
        <f>1/$B$5+1/A9</f>
        <v/>
      </c>
      <c r="I9" s="11">
        <f>H9*_xlfn.CHISQ.INV.RT($B$4,$B$3-1)</f>
        <v/>
      </c>
      <c r="J9" s="29">
        <f>_xlfn.CHISQ.DIST.RT($B$6/H9,$B$3-1)</f>
        <v/>
      </c>
    </row>
    <row r="10">
      <c r="A10" s="28" t="n">
        <v>100</v>
      </c>
      <c r="B10" s="13">
        <f>2/A10</f>
        <v/>
      </c>
      <c r="C10" s="11">
        <f>($B$3-1)*B10</f>
        <v/>
      </c>
      <c r="D10" s="11">
        <f>B10*_xlfn.CHISQ.INV.RT($B$4,$B$3-1)</f>
        <v/>
      </c>
      <c r="E10" s="11">
        <f>B10*_xlfn.CHISQ.INV.RT(0.01,$B$3-1)</f>
        <v/>
      </c>
      <c r="F10" s="29">
        <f>_xlfn.CHISQ.DIST.RT($B$6/B10,$B$3-1)</f>
        <v/>
      </c>
      <c r="G10" s="29">
        <f>_xlfn.CHISQ.DIST.RT(0.25/B10,$B$3-1)</f>
        <v/>
      </c>
      <c r="H10" s="13">
        <f>1/$B$5+1/A10</f>
        <v/>
      </c>
      <c r="I10" s="11">
        <f>H10*_xlfn.CHISQ.INV.RT($B$4,$B$3-1)</f>
        <v/>
      </c>
      <c r="J10" s="29">
        <f>_xlfn.CHISQ.DIST.RT($B$6/H10,$B$3-1)</f>
        <v/>
      </c>
    </row>
    <row r="11">
      <c r="A11" s="28" t="n">
        <v>200</v>
      </c>
      <c r="B11" s="13">
        <f>2/A11</f>
        <v/>
      </c>
      <c r="C11" s="11">
        <f>($B$3-1)*B11</f>
        <v/>
      </c>
      <c r="D11" s="11">
        <f>B11*_xlfn.CHISQ.INV.RT($B$4,$B$3-1)</f>
        <v/>
      </c>
      <c r="E11" s="11">
        <f>B11*_xlfn.CHISQ.INV.RT(0.01,$B$3-1)</f>
        <v/>
      </c>
      <c r="F11" s="29">
        <f>_xlfn.CHISQ.DIST.RT($B$6/B11,$B$3-1)</f>
        <v/>
      </c>
      <c r="G11" s="29">
        <f>_xlfn.CHISQ.DIST.RT(0.25/B11,$B$3-1)</f>
        <v/>
      </c>
      <c r="H11" s="13">
        <f>1/$B$5+1/A11</f>
        <v/>
      </c>
      <c r="I11" s="11">
        <f>H11*_xlfn.CHISQ.INV.RT($B$4,$B$3-1)</f>
        <v/>
      </c>
      <c r="J11" s="29">
        <f>_xlfn.CHISQ.DIST.RT($B$6/H11,$B$3-1)</f>
        <v/>
      </c>
    </row>
    <row r="12">
      <c r="A12" s="28" t="n">
        <v>300</v>
      </c>
      <c r="B12" s="13">
        <f>2/A12</f>
        <v/>
      </c>
      <c r="C12" s="11">
        <f>($B$3-1)*B12</f>
        <v/>
      </c>
      <c r="D12" s="11">
        <f>B12*_xlfn.CHISQ.INV.RT($B$4,$B$3-1)</f>
        <v/>
      </c>
      <c r="E12" s="11">
        <f>B12*_xlfn.CHISQ.INV.RT(0.01,$B$3-1)</f>
        <v/>
      </c>
      <c r="F12" s="29">
        <f>_xlfn.CHISQ.DIST.RT($B$6/B12,$B$3-1)</f>
        <v/>
      </c>
      <c r="G12" s="29">
        <f>_xlfn.CHISQ.DIST.RT(0.25/B12,$B$3-1)</f>
        <v/>
      </c>
      <c r="H12" s="13">
        <f>1/$B$5+1/A12</f>
        <v/>
      </c>
      <c r="I12" s="11">
        <f>H12*_xlfn.CHISQ.INV.RT($B$4,$B$3-1)</f>
        <v/>
      </c>
      <c r="J12" s="29">
        <f>_xlfn.CHISQ.DIST.RT($B$6/H12,$B$3-1)</f>
        <v/>
      </c>
    </row>
    <row r="13">
      <c r="A13" s="28" t="n">
        <v>500</v>
      </c>
      <c r="B13" s="13">
        <f>2/A13</f>
        <v/>
      </c>
      <c r="C13" s="11">
        <f>($B$3-1)*B13</f>
        <v/>
      </c>
      <c r="D13" s="11">
        <f>B13*_xlfn.CHISQ.INV.RT($B$4,$B$3-1)</f>
        <v/>
      </c>
      <c r="E13" s="11">
        <f>B13*_xlfn.CHISQ.INV.RT(0.01,$B$3-1)</f>
        <v/>
      </c>
      <c r="F13" s="29">
        <f>_xlfn.CHISQ.DIST.RT($B$6/B13,$B$3-1)</f>
        <v/>
      </c>
      <c r="G13" s="29">
        <f>_xlfn.CHISQ.DIST.RT(0.25/B13,$B$3-1)</f>
        <v/>
      </c>
      <c r="H13" s="13">
        <f>1/$B$5+1/A13</f>
        <v/>
      </c>
      <c r="I13" s="11">
        <f>H13*_xlfn.CHISQ.INV.RT($B$4,$B$3-1)</f>
        <v/>
      </c>
      <c r="J13" s="29">
        <f>_xlfn.CHISQ.DIST.RT($B$6/H13,$B$3-1)</f>
        <v/>
      </c>
    </row>
    <row r="14">
      <c r="A14" s="28" t="n">
        <v>800</v>
      </c>
      <c r="B14" s="13">
        <f>2/A14</f>
        <v/>
      </c>
      <c r="C14" s="11">
        <f>($B$3-1)*B14</f>
        <v/>
      </c>
      <c r="D14" s="11">
        <f>B14*_xlfn.CHISQ.INV.RT($B$4,$B$3-1)</f>
        <v/>
      </c>
      <c r="E14" s="11">
        <f>B14*_xlfn.CHISQ.INV.RT(0.01,$B$3-1)</f>
        <v/>
      </c>
      <c r="F14" s="29">
        <f>_xlfn.CHISQ.DIST.RT($B$6/B14,$B$3-1)</f>
        <v/>
      </c>
      <c r="G14" s="29">
        <f>_xlfn.CHISQ.DIST.RT(0.25/B14,$B$3-1)</f>
        <v/>
      </c>
      <c r="H14" s="13">
        <f>1/$B$5+1/A14</f>
        <v/>
      </c>
      <c r="I14" s="11">
        <f>H14*_xlfn.CHISQ.INV.RT($B$4,$B$3-1)</f>
        <v/>
      </c>
      <c r="J14" s="29">
        <f>_xlfn.CHISQ.DIST.RT($B$6/H14,$B$3-1)</f>
        <v/>
      </c>
    </row>
    <row r="15">
      <c r="A15" s="28" t="n">
        <v>1000</v>
      </c>
      <c r="B15" s="13">
        <f>2/A15</f>
        <v/>
      </c>
      <c r="C15" s="11">
        <f>($B$3-1)*B15</f>
        <v/>
      </c>
      <c r="D15" s="11">
        <f>B15*_xlfn.CHISQ.INV.RT($B$4,$B$3-1)</f>
        <v/>
      </c>
      <c r="E15" s="11">
        <f>B15*_xlfn.CHISQ.INV.RT(0.01,$B$3-1)</f>
        <v/>
      </c>
      <c r="F15" s="29">
        <f>_xlfn.CHISQ.DIST.RT($B$6/B15,$B$3-1)</f>
        <v/>
      </c>
      <c r="G15" s="29">
        <f>_xlfn.CHISQ.DIST.RT(0.25/B15,$B$3-1)</f>
        <v/>
      </c>
      <c r="H15" s="13">
        <f>1/$B$5+1/A15</f>
        <v/>
      </c>
      <c r="I15" s="11">
        <f>H15*_xlfn.CHISQ.INV.RT($B$4,$B$3-1)</f>
        <v/>
      </c>
      <c r="J15" s="29">
        <f>_xlfn.CHISQ.DIST.RT($B$6/H15,$B$3-1)</f>
        <v/>
      </c>
    </row>
    <row r="16">
      <c r="A16" s="28" t="n">
        <v>2000</v>
      </c>
      <c r="B16" s="13">
        <f>2/A16</f>
        <v/>
      </c>
      <c r="C16" s="11">
        <f>($B$3-1)*B16</f>
        <v/>
      </c>
      <c r="D16" s="11">
        <f>B16*_xlfn.CHISQ.INV.RT($B$4,$B$3-1)</f>
        <v/>
      </c>
      <c r="E16" s="11">
        <f>B16*_xlfn.CHISQ.INV.RT(0.01,$B$3-1)</f>
        <v/>
      </c>
      <c r="F16" s="29">
        <f>_xlfn.CHISQ.DIST.RT($B$6/B16,$B$3-1)</f>
        <v/>
      </c>
      <c r="G16" s="29">
        <f>_xlfn.CHISQ.DIST.RT(0.25/B16,$B$3-1)</f>
        <v/>
      </c>
      <c r="H16" s="13">
        <f>1/$B$5+1/A16</f>
        <v/>
      </c>
      <c r="I16" s="11">
        <f>H16*_xlfn.CHISQ.INV.RT($B$4,$B$3-1)</f>
        <v/>
      </c>
      <c r="J16" s="29">
        <f>_xlfn.CHISQ.DIST.RT($B$6/H16,$B$3-1)</f>
        <v/>
      </c>
    </row>
    <row r="17">
      <c r="A17" s="28" t="n">
        <v>3000</v>
      </c>
      <c r="B17" s="13">
        <f>2/A17</f>
        <v/>
      </c>
      <c r="C17" s="11">
        <f>($B$3-1)*B17</f>
        <v/>
      </c>
      <c r="D17" s="11">
        <f>B17*_xlfn.CHISQ.INV.RT($B$4,$B$3-1)</f>
        <v/>
      </c>
      <c r="E17" s="11">
        <f>B17*_xlfn.CHISQ.INV.RT(0.01,$B$3-1)</f>
        <v/>
      </c>
      <c r="F17" s="29">
        <f>_xlfn.CHISQ.DIST.RT($B$6/B17,$B$3-1)</f>
        <v/>
      </c>
      <c r="G17" s="29">
        <f>_xlfn.CHISQ.DIST.RT(0.25/B17,$B$3-1)</f>
        <v/>
      </c>
      <c r="H17" s="13">
        <f>1/$B$5+1/A17</f>
        <v/>
      </c>
      <c r="I17" s="11">
        <f>H17*_xlfn.CHISQ.INV.RT($B$4,$B$3-1)</f>
        <v/>
      </c>
      <c r="J17" s="29">
        <f>_xlfn.CHISQ.DIST.RT($B$6/H17,$B$3-1)</f>
        <v/>
      </c>
    </row>
    <row r="18">
      <c r="A18" s="28" t="n">
        <v>5000</v>
      </c>
      <c r="B18" s="13">
        <f>2/A18</f>
        <v/>
      </c>
      <c r="C18" s="11">
        <f>($B$3-1)*B18</f>
        <v/>
      </c>
      <c r="D18" s="11">
        <f>B18*_xlfn.CHISQ.INV.RT($B$4,$B$3-1)</f>
        <v/>
      </c>
      <c r="E18" s="11">
        <f>B18*_xlfn.CHISQ.INV.RT(0.01,$B$3-1)</f>
        <v/>
      </c>
      <c r="F18" s="29">
        <f>_xlfn.CHISQ.DIST.RT($B$6/B18,$B$3-1)</f>
        <v/>
      </c>
      <c r="G18" s="29">
        <f>_xlfn.CHISQ.DIST.RT(0.25/B18,$B$3-1)</f>
        <v/>
      </c>
      <c r="H18" s="13">
        <f>1/$B$5+1/A18</f>
        <v/>
      </c>
      <c r="I18" s="11">
        <f>H18*_xlfn.CHISQ.INV.RT($B$4,$B$3-1)</f>
        <v/>
      </c>
      <c r="J18" s="29">
        <f>_xlfn.CHISQ.DIST.RT($B$6/H18,$B$3-1)</f>
        <v/>
      </c>
    </row>
    <row r="19">
      <c r="A19" s="28" t="n">
        <v>10000</v>
      </c>
      <c r="B19" s="13">
        <f>2/A19</f>
        <v/>
      </c>
      <c r="C19" s="11">
        <f>($B$3-1)*B19</f>
        <v/>
      </c>
      <c r="D19" s="11">
        <f>B19*_xlfn.CHISQ.INV.RT($B$4,$B$3-1)</f>
        <v/>
      </c>
      <c r="E19" s="11">
        <f>B19*_xlfn.CHISQ.INV.RT(0.01,$B$3-1)</f>
        <v/>
      </c>
      <c r="F19" s="29">
        <f>_xlfn.CHISQ.DIST.RT($B$6/B19,$B$3-1)</f>
        <v/>
      </c>
      <c r="G19" s="29">
        <f>_xlfn.CHISQ.DIST.RT(0.25/B19,$B$3-1)</f>
        <v/>
      </c>
      <c r="H19" s="13">
        <f>1/$B$5+1/A19</f>
        <v/>
      </c>
      <c r="I19" s="11">
        <f>H19*_xlfn.CHISQ.INV.RT($B$4,$B$3-1)</f>
        <v/>
      </c>
      <c r="J19" s="29">
        <f>_xlfn.CHISQ.DIST.RT($B$6/H19,$B$3-1)</f>
        <v/>
      </c>
    </row>
    <row r="20">
      <c r="A20" s="28" t="n">
        <v>30000</v>
      </c>
      <c r="B20" s="13">
        <f>2/A20</f>
        <v/>
      </c>
      <c r="C20" s="11">
        <f>($B$3-1)*B20</f>
        <v/>
      </c>
      <c r="D20" s="11">
        <f>B20*_xlfn.CHISQ.INV.RT($B$4,$B$3-1)</f>
        <v/>
      </c>
      <c r="E20" s="11">
        <f>B20*_xlfn.CHISQ.INV.RT(0.01,$B$3-1)</f>
        <v/>
      </c>
      <c r="F20" s="29">
        <f>_xlfn.CHISQ.DIST.RT($B$6/B20,$B$3-1)</f>
        <v/>
      </c>
      <c r="G20" s="29">
        <f>_xlfn.CHISQ.DIST.RT(0.25/B20,$B$3-1)</f>
        <v/>
      </c>
      <c r="H20" s="13">
        <f>1/$B$5+1/A20</f>
        <v/>
      </c>
      <c r="I20" s="11">
        <f>H20*_xlfn.CHISQ.INV.RT($B$4,$B$3-1)</f>
        <v/>
      </c>
      <c r="J20" s="29">
        <f>_xlfn.CHISQ.DIST.RT($B$6/H20,$B$3-1)</f>
        <v/>
      </c>
    </row>
    <row r="21">
      <c r="A21" s="28" t="n">
        <v>100000</v>
      </c>
      <c r="B21" s="13">
        <f>2/A21</f>
        <v/>
      </c>
      <c r="C21" s="11">
        <f>($B$3-1)*B21</f>
        <v/>
      </c>
      <c r="D21" s="11">
        <f>B21*_xlfn.CHISQ.INV.RT($B$4,$B$3-1)</f>
        <v/>
      </c>
      <c r="E21" s="11">
        <f>B21*_xlfn.CHISQ.INV.RT(0.01,$B$3-1)</f>
        <v/>
      </c>
      <c r="F21" s="29">
        <f>_xlfn.CHISQ.DIST.RT($B$6/B21,$B$3-1)</f>
        <v/>
      </c>
      <c r="G21" s="29">
        <f>_xlfn.CHISQ.DIST.RT(0.25/B21,$B$3-1)</f>
        <v/>
      </c>
      <c r="H21" s="13">
        <f>1/$B$5+1/A21</f>
        <v/>
      </c>
      <c r="I21" s="11">
        <f>H21*_xlfn.CHISQ.INV.RT($B$4,$B$3-1)</f>
        <v/>
      </c>
      <c r="J21" s="29">
        <f>_xlfn.CHISQ.DIST.RT($B$6/H21,$B$3-1)</f>
        <v/>
      </c>
    </row>
    <row r="23">
      <c r="A23" t="inlineStr">
        <is>
          <t>Lectura: con B = 10, la regla «PSI &gt; 0,10» tiene ~9% de falsa alarma con n = 300 por muestra y ~83% con n = 100; con n = 30.000 el crítico al 95% es ~0,0011, casi 100 veces menor que 0,10.</t>
        </is>
      </c>
    </row>
    <row r="24">
      <c r="A24" t="inlineStr">
        <is>
          <t>Con n_e fijo (DEV congelado), el crítico nunca baja de c·χ² con c ≥ 1/n_e: el ruido de DEV no desaparece aunque el lote actual crezca.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Banco Austral · PSI del score sobre 8 bandas (clase 5) · DEV → TTD</t>
        </is>
      </c>
    </row>
    <row r="3">
      <c r="A3" s="2" t="inlineStr">
        <is>
          <t>n DEV</t>
        </is>
      </c>
      <c r="B3" s="7" t="n">
        <v>3322</v>
      </c>
    </row>
    <row r="4">
      <c r="A4" s="2" t="inlineStr">
        <is>
          <t>n TTD</t>
        </is>
      </c>
      <c r="B4" s="7" t="n">
        <v>8585</v>
      </c>
    </row>
    <row r="5">
      <c r="A5" s="2" t="inlineStr">
        <is>
          <t>ε</t>
        </is>
      </c>
      <c r="B5" s="7" t="n">
        <v>0.0001</v>
      </c>
    </row>
    <row r="7">
      <c r="A7" s="30" t="inlineStr">
        <is>
          <t>banda</t>
        </is>
      </c>
      <c r="B7" s="30" t="inlineStr">
        <is>
          <t>% DEV</t>
        </is>
      </c>
      <c r="C7" s="30" t="inlineStr">
        <is>
          <t>% TTD</t>
        </is>
      </c>
      <c r="D7" s="30" t="inlineStr">
        <is>
          <t>aporte PSI</t>
        </is>
      </c>
      <c r="E7" s="30" t="inlineStr">
        <is>
          <t>dirección</t>
        </is>
      </c>
    </row>
    <row r="8">
      <c r="A8" t="inlineStr">
        <is>
          <t>A1</t>
        </is>
      </c>
      <c r="B8" s="8" t="n">
        <v>0.2143</v>
      </c>
      <c r="C8" s="8" t="n">
        <v>0.1843</v>
      </c>
      <c r="D8" s="9">
        <f>(C8+$B$5-B8-$B$5)*LN((C8+$B$5)/(B8+$B$5))</f>
        <v/>
      </c>
      <c r="E8">
        <f>IF(C8&gt;B8,"se llena",IF(C8&lt;B8,"se vacía","igual"))</f>
        <v/>
      </c>
    </row>
    <row r="9">
      <c r="A9" t="inlineStr">
        <is>
          <t>A2</t>
        </is>
      </c>
      <c r="B9" s="8" t="n">
        <v>0.0975</v>
      </c>
      <c r="C9" s="8" t="n">
        <v>0.0895</v>
      </c>
      <c r="D9" s="9">
        <f>(C9+$B$5-B9-$B$5)*LN((C9+$B$5)/(B9+$B$5))</f>
        <v/>
      </c>
      <c r="E9">
        <f>IF(C9&gt;B9,"se llena",IF(C9&lt;B9,"se vacía","igual"))</f>
        <v/>
      </c>
    </row>
    <row r="10">
      <c r="A10" t="inlineStr">
        <is>
          <t>B1</t>
        </is>
      </c>
      <c r="B10" s="8" t="n">
        <v>0.1165</v>
      </c>
      <c r="C10" s="8" t="n">
        <v>0.1075</v>
      </c>
      <c r="D10" s="9">
        <f>(C10+$B$5-B10-$B$5)*LN((C10+$B$5)/(B10+$B$5))</f>
        <v/>
      </c>
      <c r="E10">
        <f>IF(C10&gt;B10,"se llena",IF(C10&lt;B10,"se vacía","igual"))</f>
        <v/>
      </c>
    </row>
    <row r="11">
      <c r="A11" t="inlineStr">
        <is>
          <t>B2</t>
        </is>
      </c>
      <c r="B11" s="8" t="n">
        <v>0.1222</v>
      </c>
      <c r="C11" s="8" t="n">
        <v>0.1216</v>
      </c>
      <c r="D11" s="9">
        <f>(C11+$B$5-B11-$B$5)*LN((C11+$B$5)/(B11+$B$5))</f>
        <v/>
      </c>
      <c r="E11">
        <f>IF(C11&gt;B11,"se llena",IF(C11&lt;B11,"se vacía","igual"))</f>
        <v/>
      </c>
    </row>
    <row r="12">
      <c r="A12" t="inlineStr">
        <is>
          <t>C1</t>
        </is>
      </c>
      <c r="B12" s="8" t="n">
        <v>0.124</v>
      </c>
      <c r="C12" s="8" t="n">
        <v>0.1231</v>
      </c>
      <c r="D12" s="9">
        <f>(C12+$B$5-B12-$B$5)*LN((C12+$B$5)/(B12+$B$5))</f>
        <v/>
      </c>
      <c r="E12">
        <f>IF(C12&gt;B12,"se llena",IF(C12&lt;B12,"se vacía","igual"))</f>
        <v/>
      </c>
    </row>
    <row r="13">
      <c r="A13" t="inlineStr">
        <is>
          <t>C2</t>
        </is>
      </c>
      <c r="B13" s="8" t="n">
        <v>0.1087</v>
      </c>
      <c r="C13" s="8" t="n">
        <v>0.1203</v>
      </c>
      <c r="D13" s="9">
        <f>(C13+$B$5-B13-$B$5)*LN((C13+$B$5)/(B13+$B$5))</f>
        <v/>
      </c>
      <c r="E13">
        <f>IF(C13&gt;B13,"se llena",IF(C13&lt;B13,"se vacía","igual"))</f>
        <v/>
      </c>
    </row>
    <row r="14">
      <c r="A14" t="inlineStr">
        <is>
          <t>D</t>
        </is>
      </c>
      <c r="B14" s="8" t="n">
        <v>0.09420000000000001</v>
      </c>
      <c r="C14" s="8" t="n">
        <v>0.109</v>
      </c>
      <c r="D14" s="9">
        <f>(C14+$B$5-B14-$B$5)*LN((C14+$B$5)/(B14+$B$5))</f>
        <v/>
      </c>
      <c r="E14">
        <f>IF(C14&gt;B14,"se llena",IF(C14&lt;B14,"se vacía","igual"))</f>
        <v/>
      </c>
    </row>
    <row r="15">
      <c r="A15" t="inlineStr">
        <is>
          <t>E</t>
        </is>
      </c>
      <c r="B15" s="8" t="n">
        <v>0.1225</v>
      </c>
      <c r="C15" s="8" t="n">
        <v>0.1447</v>
      </c>
      <c r="D15" s="9">
        <f>(C15+$B$5-B15-$B$5)*LN((C15+$B$5)/(B15+$B$5))</f>
        <v/>
      </c>
      <c r="E15">
        <f>IF(C15&gt;B15,"se llena",IF(C15&lt;B15,"se vacía","igual"))</f>
        <v/>
      </c>
    </row>
    <row r="17">
      <c r="A17" s="2" t="inlineStr">
        <is>
          <t>PSI</t>
        </is>
      </c>
      <c r="B17" s="9">
        <f>SUM(D8:D15)</f>
        <v/>
      </c>
    </row>
    <row r="18">
      <c r="A18" s="2" t="inlineStr">
        <is>
          <t>c = 1/n_DEV + 1/n_TTD</t>
        </is>
      </c>
      <c r="B18" s="13">
        <f>1/B3+1/B4</f>
        <v/>
      </c>
    </row>
    <row r="19">
      <c r="A19" s="2" t="inlineStr">
        <is>
          <t>E[PSI | sin drift] = 7c</t>
        </is>
      </c>
      <c r="B19" s="9">
        <f>7*B18</f>
        <v/>
      </c>
    </row>
    <row r="20">
      <c r="A20" s="2" t="inlineStr">
        <is>
          <t>crítico 95% = c·χ²(0,95; 7)</t>
        </is>
      </c>
      <c r="B20" s="9">
        <f>B18*_xlfn.CHISQ.INV.RT(0.05,7)</f>
        <v/>
      </c>
    </row>
    <row r="21">
      <c r="A21" s="2" t="inlineStr">
        <is>
          <t>PSI / c</t>
        </is>
      </c>
      <c r="B21" s="31">
        <f>B17/B18</f>
        <v/>
      </c>
    </row>
    <row r="22">
      <c r="A22" s="2" t="inlineStr">
        <is>
          <t>p-valor</t>
        </is>
      </c>
      <c r="B22" s="11">
        <f>_xlfn.CHISQ.DIST.RT(B21,7)</f>
        <v/>
      </c>
    </row>
    <row r="23">
      <c r="A23" s="2" t="inlineStr">
        <is>
          <t>Semáforo curso</t>
        </is>
      </c>
      <c r="B23" s="12">
        <f>IF(B17&gt;0.25,"ROJO",IF(B17&gt;0.1,"AMARILLO","VERDE"))</f>
        <v/>
      </c>
    </row>
    <row r="25">
      <c r="A25" t="inlineStr">
        <is>
          <t>Lectura: 0,013 es «verde» por convención, pero está ~4,5 veces sobre su valor esperado sin drift (p ≈ 6e-5): la bandeja TTD es distinta de DEV (A1 se vacía, E se llena), aunque todavía no de forma material.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2026-09-28T06:05:45Z</dcterms:created>
  <dcterms:modified xmlns:dcterms="http://purl.org/dc/terms/" xmlns:xsi="http://www.w3.org/2001/XMLSchema-instance" xsi:type="dcterms:W3CDTF">2026-09-28T06:05:45Z</dcterms:modified>
</cp:coreProperties>
</file>