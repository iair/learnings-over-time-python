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Bandas" sheetId="2" state="visible" r:id="rId2"/>
    <sheet xmlns:r="http://schemas.openxmlformats.org/officeDocument/2006/relationships" name="HL_grupos" sheetId="3" state="visible" r:id="rId3"/>
    <sheet xmlns:r="http://schemas.openxmlformats.org/officeDocument/2006/relationships" name="Potencia" sheetId="4" state="visible" r:id="rId4"/>
    <sheet xmlns:r="http://schemas.openxmlformats.org/officeDocument/2006/relationships" name="Correl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"/>
    <numFmt numFmtId="166" formatCode="0.0%"/>
    <numFmt numFmtId="167" formatCode="0.0"/>
    <numFmt numFmtId="168" formatCode="0.0000%"/>
    <numFmt numFmtId="169" formatCode="0.0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2" borderId="0" pivotButton="0" quotePrefix="0" xfId="0"/>
    <xf numFmtId="1" fontId="0" fillId="2" borderId="0" pivotButton="0" quotePrefix="0" xfId="0"/>
    <xf numFmtId="9" fontId="0" fillId="2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vertical="center" wrapText="1"/>
    </xf>
    <xf numFmtId="3" fontId="0" fillId="2" borderId="0" pivotButton="0" quotePrefix="0" xfId="0"/>
    <xf numFmtId="10" fontId="0" fillId="2" borderId="0" pivotButton="0" quotePrefix="0" xfId="0"/>
    <xf numFmtId="167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1" fontId="2" fillId="0" borderId="0" pivotButton="0" quotePrefix="0" xfId="0"/>
    <xf numFmtId="167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49" fontId="2" fillId="0" borderId="0" pivotButton="0" quotePrefix="0" xfId="0"/>
    <xf numFmtId="166" fontId="2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168" fontId="0" fillId="2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wrapText="1"/>
    </xf>
    <xf numFmtId="166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E082"/>
        </patternFill>
      </fill>
    </dxf>
    <dxf>
      <fill>
        <patternFill patternType="solid">
          <fgColor rgb="00EF9A9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M19 · Backtesting de calibración por banda (Serie 2 · Del embudo al gobierno)</t>
        </is>
      </c>
    </row>
    <row r="2">
      <c r="A2" t="inlineStr"/>
    </row>
    <row r="3">
      <c r="A3" s="2" t="inlineStr">
        <is>
          <t>Qué es</t>
        </is>
      </c>
    </row>
    <row r="4">
      <c r="A4" t="inlineStr">
        <is>
          <t>Calculadora de backtesting de PD para una master scale de 8 bandas: test binomial exacto (una y dos colas),</t>
        </is>
      </c>
    </row>
    <row r="5">
      <c r="A5" t="inlineStr">
        <is>
          <t>aproximación normal, test de Jeffreys (instrucciones de reporte de validación del BCE), intervalo de Jeffreys,</t>
        </is>
      </c>
    </row>
    <row r="6">
      <c r="A6" t="inlineStr">
        <is>
          <t>semáforo, corrección por multiplicidad (Bonferroni y Holm), test de signos, Hosmer-Lemeshow sobre bandas y</t>
        </is>
      </c>
    </row>
    <row r="7">
      <c r="A7" t="inlineStr">
        <is>
          <t>sobre 10 grupos, potencia por banda y p-valor ajustado por correlación de defaults (modelo de un factor de Vasicek).</t>
        </is>
      </c>
    </row>
    <row r="8">
      <c r="A8" t="inlineStr"/>
    </row>
    <row r="9">
      <c r="A9" s="2" t="inlineStr">
        <is>
          <t>Cómo usarla</t>
        </is>
      </c>
    </row>
    <row r="10">
      <c r="A10" t="inlineStr">
        <is>
          <t>1. Hoja «Bandas»: pega n, PD calibrada y malos observados de tus 8 bandas en las celdas amarillas.</t>
        </is>
      </c>
    </row>
    <row r="11">
      <c r="A11" t="inlineStr">
        <is>
          <t xml:space="preserve">   Viene cargada con Banco Austral OOT (clase 5, lámina 22). Ajusta umbrales y el tipo de p que manda el semáforo.</t>
        </is>
      </c>
    </row>
    <row r="12">
      <c r="A12" t="inlineStr">
        <is>
          <t>2. Hoja «HL_grupos»: pega n, PD media y observados de 10 grupos (viene con la lámina 24 del curso).</t>
        </is>
      </c>
    </row>
    <row r="13">
      <c r="A13" t="inlineStr">
        <is>
          <t>3. Hoja «Potencia»: elige el multiplicador m de la PD verdadera y lee qué banda tiene poder para detectarlo.</t>
        </is>
      </c>
    </row>
    <row r="14">
      <c r="A14" t="inlineStr">
        <is>
          <t>4. Hoja «Correlacion»: elige ρ (correlación de activos) y lee el p de una cola ajustado por correlación.</t>
        </is>
      </c>
    </row>
    <row r="15">
      <c r="A15" t="inlineStr"/>
    </row>
    <row r="16">
      <c r="A16" s="2" t="inlineStr">
        <is>
          <t>Supuestos y advertencias</t>
        </is>
      </c>
    </row>
    <row r="17">
      <c r="A17" t="inlineStr">
        <is>
          <t>• Binomial: defaults independientes dentro de la banda y PD homogénea (se usa la PD MEDIA de la banda).</t>
        </is>
      </c>
    </row>
    <row r="18">
      <c r="A18" t="inlineStr">
        <is>
          <t xml:space="preserve">  Con PD heterogénea el conteo real es Poisson-binomial, de varianza menor: el binomial es algo conservador.</t>
        </is>
      </c>
    </row>
    <row r="19">
      <c r="A19" t="inlineStr">
        <is>
          <t>• p bilateral de la planilla = «doble cola» min(1, 2·min(colas)). scipy/R (y el curso) usan «minlike»,</t>
        </is>
      </c>
    </row>
    <row r="20">
      <c r="A20" t="inlineStr">
        <is>
          <t xml:space="preserve">  que puede ser MENOR; en bandas con np chico minlike = una cola superior. Ver M19 §3.2. El notebook calcula ambos.</t>
        </is>
      </c>
    </row>
    <row r="21">
      <c r="A21" t="inlineStr">
        <is>
          <t>• Aproximación normal: NO usar si n·PD &lt; 5 (la columna «aviso» lo marca). Con n·PD &lt; 1 da rojos falsos.</t>
        </is>
      </c>
    </row>
    <row r="22">
      <c r="A22" t="inlineStr">
        <is>
          <t>• Jeffreys (BCE): p = F_Beta(D+½, n−D+½)(PD), una cola; p chico ⇒ la PD subestima.</t>
        </is>
      </c>
    </row>
    <row r="23">
      <c r="A23" t="inlineStr">
        <is>
          <t>• Hosmer-Lemeshow: p χ² con G−2 gl (desarrollo) y con G gl (validación externa). Si hay grupos con</t>
        </is>
      </c>
    </row>
    <row r="24">
      <c r="A24" t="inlineStr">
        <is>
          <t xml:space="preserve">  esperados &lt; 5 el p χ² no es confiable: usa el p simulado del notebook (M19 §5).</t>
        </is>
      </c>
    </row>
    <row r="25">
      <c r="A25" t="inlineStr">
        <is>
          <t>• Correlación: integra la mezcla de binomiales sobre el factor común con regla del trapecio (161 nodos,</t>
        </is>
      </c>
    </row>
    <row r="26">
      <c r="A26" t="inlineStr">
        <is>
          <t xml:space="preserve">  z ∈ [−8, 8], paso 0,1; error &lt; 2e-5 frente a integración adaptativa). ρ debe estar en [0; 0,99].</t>
        </is>
      </c>
    </row>
    <row r="27">
      <c r="A27" t="inlineStr">
        <is>
          <t>• Todas las bandas deben tener n ≥ 1 y 0 &lt; PD &lt; 1. La planilla asume 8 bandas (m = 8 en Bonferroni/Holm).</t>
        </is>
      </c>
    </row>
    <row r="28">
      <c r="A28" t="inlineStr">
        <is>
          <t>• Funciones usadas (existen en Excel, LibreOffice y Google Sheets): BINOM.DIST, BINOM.INV, BETA.DIST, BETA.INV,</t>
        </is>
      </c>
    </row>
    <row r="29">
      <c r="A29" t="inlineStr">
        <is>
          <t xml:space="preserve">  NORM.S.DIST, NORM.S.INV, CHISQ.DIST.RT, SUMPRODUCT, RANK.EQ, COUNTIF, INDEX, MATCH, CHOOSE.</t>
        </is>
      </c>
    </row>
    <row r="30">
      <c r="A30" t="inlineStr"/>
    </row>
    <row r="31">
      <c r="A31" t="inlineStr">
        <is>
          <t>Convenciones del curso: target 1 = malo; semáforo p ≥ 0,05 verde · 0,01–0,05 amarillo · &lt; 0,01 rojo (convención, no ley).</t>
        </is>
      </c>
    </row>
    <row r="32">
      <c r="A32" t="inlineStr">
        <is>
          <t>Celdas amarillas = parámetros o datos que puedes cambiar. Todo lo demás son fórmulas.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Backtesting por banda (8 bandas)</t>
        </is>
      </c>
    </row>
    <row r="2"/>
    <row r="3">
      <c r="A3" t="inlineStr">
        <is>
          <t>Umbral amarillo (α)</t>
        </is>
      </c>
      <c r="D3" s="3" t="n">
        <v>0.05</v>
      </c>
    </row>
    <row r="4">
      <c r="A4" t="inlineStr">
        <is>
          <t>Umbral rojo (α)</t>
        </is>
      </c>
      <c r="D4" s="3" t="n">
        <v>0.01</v>
      </c>
    </row>
    <row r="5">
      <c r="A5" t="inlineStr">
        <is>
          <t>p que manda el semáforo: 1 = una cola sup · 2 = dos colas (doble) · 3 = normal dos colas · 4 = Jeffreys</t>
        </is>
      </c>
      <c r="D5" s="4" t="n">
        <v>1</v>
      </c>
    </row>
    <row r="6">
      <c r="A6" t="inlineStr">
        <is>
          <t>Nivel del intervalo de Jeffreys</t>
        </is>
      </c>
      <c r="D6" s="5" t="n">
        <v>0.95</v>
      </c>
    </row>
    <row r="7">
      <c r="A7" s="6" t="inlineStr">
        <is>
          <t>Nota: la columna «p dos colas (doble)» NO es la «minlike» de scipy/R que usó el curso; en bandas con np chico, minlike = una cola superior (ver M19 §3.2).</t>
        </is>
      </c>
    </row>
    <row r="8"/>
    <row r="9" ht="45" customHeight="1">
      <c r="A9" s="7" t="inlineStr">
        <is>
          <t>Banda</t>
        </is>
      </c>
      <c r="B9" s="7" t="inlineStr">
        <is>
          <t>n</t>
        </is>
      </c>
      <c r="C9" s="7" t="inlineStr">
        <is>
          <t>PD calibrada</t>
        </is>
      </c>
      <c r="D9" s="7" t="inlineStr">
        <is>
          <t>Malos</t>
        </is>
      </c>
      <c r="E9" s="7" t="inlineStr">
        <is>
          <t>Esperados</t>
        </is>
      </c>
      <c r="F9" s="7" t="inlineStr">
        <is>
          <t>Tasa obs.</t>
        </is>
      </c>
      <c r="G9" s="7" t="inlineStr">
        <is>
          <t>z</t>
        </is>
      </c>
      <c r="H9" s="7" t="inlineStr">
        <is>
          <t>p una cola sup</t>
        </is>
      </c>
      <c r="I9" s="7" t="inlineStr">
        <is>
          <t>p una cola inf</t>
        </is>
      </c>
      <c r="J9" s="7" t="inlineStr">
        <is>
          <t>p dos colas (doble)</t>
        </is>
      </c>
      <c r="K9" s="7" t="inlineStr">
        <is>
          <t>p normal dos colas</t>
        </is>
      </c>
      <c r="L9" s="7" t="inlineStr">
        <is>
          <t>Aviso np</t>
        </is>
      </c>
      <c r="M9" s="7" t="inlineStr">
        <is>
          <t>p Jeffreys (BCE)</t>
        </is>
      </c>
      <c r="N9" s="7" t="inlineStr">
        <is>
          <t>IC Jeffreys inf</t>
        </is>
      </c>
      <c r="O9" s="7" t="inlineStr">
        <is>
          <t>IC Jeffreys sup</t>
        </is>
      </c>
      <c r="P9" s="7" t="inlineStr">
        <is>
          <t>PD dentro del IC</t>
        </is>
      </c>
      <c r="Q9" s="7" t="inlineStr">
        <is>
          <t>p del semáforo</t>
        </is>
      </c>
      <c r="R9" s="7" t="inlineStr">
        <is>
          <t>Semáforo</t>
        </is>
      </c>
      <c r="S9" s="7" t="inlineStr">
        <is>
          <t>Rango (desempate)</t>
        </is>
      </c>
      <c r="T9" s="7" t="inlineStr">
        <is>
          <t>p Bonferroni</t>
        </is>
      </c>
      <c r="U9" s="7" t="inlineStr">
        <is>
          <t>p Holm</t>
        </is>
      </c>
      <c r="V9" s="7" t="inlineStr">
        <is>
          <t>Semáforo Holm</t>
        </is>
      </c>
      <c r="W9" s="7" t="inlineStr">
        <is>
          <t>Aporte HL</t>
        </is>
      </c>
      <c r="Y9" s="2" t="inlineStr">
        <is>
          <t>Rango r</t>
        </is>
      </c>
      <c r="Z9" s="2" t="inlineStr">
        <is>
          <t>p(r) ordenado</t>
        </is>
      </c>
      <c r="AA9" s="2" t="inlineStr">
        <is>
          <t>(m−r+1)·p(r)</t>
        </is>
      </c>
      <c r="AB9" s="2" t="inlineStr">
        <is>
          <t>Holm ajustado (ordenado)</t>
        </is>
      </c>
    </row>
    <row r="10">
      <c r="A10" t="inlineStr">
        <is>
          <t>A1</t>
        </is>
      </c>
      <c r="B10" s="8" t="n">
        <v>432</v>
      </c>
      <c r="C10" s="9" t="n">
        <v>0.0011</v>
      </c>
      <c r="D10" s="4" t="n">
        <v>1</v>
      </c>
      <c r="E10" s="10">
        <f>B10*C10</f>
        <v/>
      </c>
      <c r="F10" s="11">
        <f>D10/B10</f>
        <v/>
      </c>
      <c r="G10" s="12">
        <f>(D10-E10)/SQRT(E10*(1-C10))</f>
        <v/>
      </c>
      <c r="H10" s="13">
        <f>IF(D10=0,1,1-_xlfn.BINOM.DIST(D10-1,B10,C10,TRUE))</f>
        <v/>
      </c>
      <c r="I10" s="13">
        <f>_xlfn.BINOM.DIST(D10,B10,C10,TRUE)</f>
        <v/>
      </c>
      <c r="J10" s="13">
        <f>MIN(1,2*MIN(H10,I10))</f>
        <v/>
      </c>
      <c r="K10" s="13">
        <f>2*(1-_xlfn.NORM.S.DIST(ABS(G10),TRUE))</f>
        <v/>
      </c>
      <c r="L10">
        <f>IF(E10&lt;5,"np&lt;5: no usar normal","ok")</f>
        <v/>
      </c>
      <c r="M10" s="13">
        <f>_xlfn.BETA.DIST(C10,D10+0.5,B10-D10+0.5,TRUE)</f>
        <v/>
      </c>
      <c r="N10" s="11">
        <f>IF(D10=0,0,_xlfn.BETA.INV((1-$D$6)/2,D10+0.5,B10-D10+0.5))</f>
        <v/>
      </c>
      <c r="O10" s="11">
        <f>IF(D10=B10,1,_xlfn.BETA.INV(1-(1-$D$6)/2,D10+0.5,B10-D10+0.5))</f>
        <v/>
      </c>
      <c r="P10">
        <f>IF(AND(C10&gt;=N10,C10&lt;=O10),"sí","NO")</f>
        <v/>
      </c>
      <c r="Q10" s="13">
        <f>CHOOSE($D$5,H10,J10,K10,M10)</f>
        <v/>
      </c>
      <c r="R10">
        <f>IF(Q10&lt;$D$4,"ROJO",IF(Q10&lt;$D$3,"AMARILLO","VERDE"))</f>
        <v/>
      </c>
      <c r="S10">
        <f>_xlfn.RANK.EQ(Q10,$Q$10:$Q$17,1)+COUNTIF($Q$10:Q10,Q10)-1</f>
        <v/>
      </c>
      <c r="T10" s="13">
        <f>MIN(1,8*Q10)</f>
        <v/>
      </c>
      <c r="U10" s="13">
        <f>INDEX($AB$10:$AB$17,S10)</f>
        <v/>
      </c>
      <c r="V10">
        <f>IF(U10&lt;$D$4,"ROJO",IF(U10&lt;$D$3,"AMARILLO","VERDE"))</f>
        <v/>
      </c>
      <c r="W10" s="12">
        <f>(D10-E10)^2/(E10*(1-C10))</f>
        <v/>
      </c>
      <c r="Y10" t="n">
        <v>1</v>
      </c>
      <c r="Z10" s="13">
        <f>INDEX($Q$10:$Q$17,MATCH(Y10,$S$10:$S$17,0))</f>
        <v/>
      </c>
      <c r="AA10" s="13">
        <f>MIN(1,(8-Y10+1)*Z10)</f>
        <v/>
      </c>
      <c r="AB10" s="13">
        <f>AA10</f>
        <v/>
      </c>
    </row>
    <row r="11">
      <c r="A11" t="inlineStr">
        <is>
          <t>A2</t>
        </is>
      </c>
      <c r="B11" s="8" t="n">
        <v>199</v>
      </c>
      <c r="C11" s="9" t="n">
        <v>0.0036</v>
      </c>
      <c r="D11" s="4" t="n">
        <v>3</v>
      </c>
      <c r="E11" s="10">
        <f>B11*C11</f>
        <v/>
      </c>
      <c r="F11" s="11">
        <f>D11/B11</f>
        <v/>
      </c>
      <c r="G11" s="12">
        <f>(D11-E11)/SQRT(E11*(1-C11))</f>
        <v/>
      </c>
      <c r="H11" s="13">
        <f>IF(D11=0,1,1-_xlfn.BINOM.DIST(D11-1,B11,C11,TRUE))</f>
        <v/>
      </c>
      <c r="I11" s="13">
        <f>_xlfn.BINOM.DIST(D11,B11,C11,TRUE)</f>
        <v/>
      </c>
      <c r="J11" s="13">
        <f>MIN(1,2*MIN(H11,I11))</f>
        <v/>
      </c>
      <c r="K11" s="13">
        <f>2*(1-_xlfn.NORM.S.DIST(ABS(G11),TRUE))</f>
        <v/>
      </c>
      <c r="L11">
        <f>IF(E11&lt;5,"np&lt;5: no usar normal","ok")</f>
        <v/>
      </c>
      <c r="M11" s="13">
        <f>_xlfn.BETA.DIST(C11,D11+0.5,B11-D11+0.5,TRUE)</f>
        <v/>
      </c>
      <c r="N11" s="11">
        <f>IF(D11=0,0,_xlfn.BETA.INV((1-$D$6)/2,D11+0.5,B11-D11+0.5))</f>
        <v/>
      </c>
      <c r="O11" s="11">
        <f>IF(D11=B11,1,_xlfn.BETA.INV(1-(1-$D$6)/2,D11+0.5,B11-D11+0.5))</f>
        <v/>
      </c>
      <c r="P11">
        <f>IF(AND(C11&gt;=N11,C11&lt;=O11),"sí","NO")</f>
        <v/>
      </c>
      <c r="Q11" s="13">
        <f>CHOOSE($D$5,H11,J11,K11,M11)</f>
        <v/>
      </c>
      <c r="R11">
        <f>IF(Q11&lt;$D$4,"ROJO",IF(Q11&lt;$D$3,"AMARILLO","VERDE"))</f>
        <v/>
      </c>
      <c r="S11">
        <f>_xlfn.RANK.EQ(Q11,$Q$10:$Q$17,1)+COUNTIF($Q$10:Q11,Q11)-1</f>
        <v/>
      </c>
      <c r="T11" s="13">
        <f>MIN(1,8*Q11)</f>
        <v/>
      </c>
      <c r="U11" s="13">
        <f>INDEX($AB$10:$AB$17,S11)</f>
        <v/>
      </c>
      <c r="V11">
        <f>IF(U11&lt;$D$4,"ROJO",IF(U11&lt;$D$3,"AMARILLO","VERDE"))</f>
        <v/>
      </c>
      <c r="W11" s="12">
        <f>(D11-E11)^2/(E11*(1-C11))</f>
        <v/>
      </c>
      <c r="Y11" t="n">
        <v>2</v>
      </c>
      <c r="Z11" s="13">
        <f>INDEX($Q$10:$Q$17,MATCH(Y11,$S$10:$S$17,0))</f>
        <v/>
      </c>
      <c r="AA11" s="13">
        <f>MIN(1,(8-Y11+1)*Z11)</f>
        <v/>
      </c>
      <c r="AB11" s="13">
        <f>MAX(AB10,AA11)</f>
        <v/>
      </c>
    </row>
    <row r="12">
      <c r="A12" t="inlineStr">
        <is>
          <t>B1</t>
        </is>
      </c>
      <c r="B12" s="8" t="n">
        <v>244</v>
      </c>
      <c r="C12" s="9" t="n">
        <v>0.0072</v>
      </c>
      <c r="D12" s="4" t="n">
        <v>4</v>
      </c>
      <c r="E12" s="10">
        <f>B12*C12</f>
        <v/>
      </c>
      <c r="F12" s="11">
        <f>D12/B12</f>
        <v/>
      </c>
      <c r="G12" s="12">
        <f>(D12-E12)/SQRT(E12*(1-C12))</f>
        <v/>
      </c>
      <c r="H12" s="13">
        <f>IF(D12=0,1,1-_xlfn.BINOM.DIST(D12-1,B12,C12,TRUE))</f>
        <v/>
      </c>
      <c r="I12" s="13">
        <f>_xlfn.BINOM.DIST(D12,B12,C12,TRUE)</f>
        <v/>
      </c>
      <c r="J12" s="13">
        <f>MIN(1,2*MIN(H12,I12))</f>
        <v/>
      </c>
      <c r="K12" s="13">
        <f>2*(1-_xlfn.NORM.S.DIST(ABS(G12),TRUE))</f>
        <v/>
      </c>
      <c r="L12">
        <f>IF(E12&lt;5,"np&lt;5: no usar normal","ok")</f>
        <v/>
      </c>
      <c r="M12" s="13">
        <f>_xlfn.BETA.DIST(C12,D12+0.5,B12-D12+0.5,TRUE)</f>
        <v/>
      </c>
      <c r="N12" s="11">
        <f>IF(D12=0,0,_xlfn.BETA.INV((1-$D$6)/2,D12+0.5,B12-D12+0.5))</f>
        <v/>
      </c>
      <c r="O12" s="11">
        <f>IF(D12=B12,1,_xlfn.BETA.INV(1-(1-$D$6)/2,D12+0.5,B12-D12+0.5))</f>
        <v/>
      </c>
      <c r="P12">
        <f>IF(AND(C12&gt;=N12,C12&lt;=O12),"sí","NO")</f>
        <v/>
      </c>
      <c r="Q12" s="13">
        <f>CHOOSE($D$5,H12,J12,K12,M12)</f>
        <v/>
      </c>
      <c r="R12">
        <f>IF(Q12&lt;$D$4,"ROJO",IF(Q12&lt;$D$3,"AMARILLO","VERDE"))</f>
        <v/>
      </c>
      <c r="S12">
        <f>_xlfn.RANK.EQ(Q12,$Q$10:$Q$17,1)+COUNTIF($Q$10:Q12,Q12)-1</f>
        <v/>
      </c>
      <c r="T12" s="13">
        <f>MIN(1,8*Q12)</f>
        <v/>
      </c>
      <c r="U12" s="13">
        <f>INDEX($AB$10:$AB$17,S12)</f>
        <v/>
      </c>
      <c r="V12">
        <f>IF(U12&lt;$D$4,"ROJO",IF(U12&lt;$D$3,"AMARILLO","VERDE"))</f>
        <v/>
      </c>
      <c r="W12" s="12">
        <f>(D12-E12)^2/(E12*(1-C12))</f>
        <v/>
      </c>
      <c r="Y12" t="n">
        <v>3</v>
      </c>
      <c r="Z12" s="13">
        <f>INDEX($Q$10:$Q$17,MATCH(Y12,$S$10:$S$17,0))</f>
        <v/>
      </c>
      <c r="AA12" s="13">
        <f>MIN(1,(8-Y12+1)*Z12)</f>
        <v/>
      </c>
      <c r="AB12" s="13">
        <f>MAX(AB11,AA12)</f>
        <v/>
      </c>
    </row>
    <row r="13">
      <c r="A13" t="inlineStr">
        <is>
          <t>B2</t>
        </is>
      </c>
      <c r="B13" s="8" t="n">
        <v>235</v>
      </c>
      <c r="C13" s="9" t="n">
        <v>0.0142</v>
      </c>
      <c r="D13" s="4" t="n">
        <v>8</v>
      </c>
      <c r="E13" s="10">
        <f>B13*C13</f>
        <v/>
      </c>
      <c r="F13" s="11">
        <f>D13/B13</f>
        <v/>
      </c>
      <c r="G13" s="12">
        <f>(D13-E13)/SQRT(E13*(1-C13))</f>
        <v/>
      </c>
      <c r="H13" s="13">
        <f>IF(D13=0,1,1-_xlfn.BINOM.DIST(D13-1,B13,C13,TRUE))</f>
        <v/>
      </c>
      <c r="I13" s="13">
        <f>_xlfn.BINOM.DIST(D13,B13,C13,TRUE)</f>
        <v/>
      </c>
      <c r="J13" s="13">
        <f>MIN(1,2*MIN(H13,I13))</f>
        <v/>
      </c>
      <c r="K13" s="13">
        <f>2*(1-_xlfn.NORM.S.DIST(ABS(G13),TRUE))</f>
        <v/>
      </c>
      <c r="L13">
        <f>IF(E13&lt;5,"np&lt;5: no usar normal","ok")</f>
        <v/>
      </c>
      <c r="M13" s="13">
        <f>_xlfn.BETA.DIST(C13,D13+0.5,B13-D13+0.5,TRUE)</f>
        <v/>
      </c>
      <c r="N13" s="11">
        <f>IF(D13=0,0,_xlfn.BETA.INV((1-$D$6)/2,D13+0.5,B13-D13+0.5))</f>
        <v/>
      </c>
      <c r="O13" s="11">
        <f>IF(D13=B13,1,_xlfn.BETA.INV(1-(1-$D$6)/2,D13+0.5,B13-D13+0.5))</f>
        <v/>
      </c>
      <c r="P13">
        <f>IF(AND(C13&gt;=N13,C13&lt;=O13),"sí","NO")</f>
        <v/>
      </c>
      <c r="Q13" s="13">
        <f>CHOOSE($D$5,H13,J13,K13,M13)</f>
        <v/>
      </c>
      <c r="R13">
        <f>IF(Q13&lt;$D$4,"ROJO",IF(Q13&lt;$D$3,"AMARILLO","VERDE"))</f>
        <v/>
      </c>
      <c r="S13">
        <f>_xlfn.RANK.EQ(Q13,$Q$10:$Q$17,1)+COUNTIF($Q$10:Q13,Q13)-1</f>
        <v/>
      </c>
      <c r="T13" s="13">
        <f>MIN(1,8*Q13)</f>
        <v/>
      </c>
      <c r="U13" s="13">
        <f>INDEX($AB$10:$AB$17,S13)</f>
        <v/>
      </c>
      <c r="V13">
        <f>IF(U13&lt;$D$4,"ROJO",IF(U13&lt;$D$3,"AMARILLO","VERDE"))</f>
        <v/>
      </c>
      <c r="W13" s="12">
        <f>(D13-E13)^2/(E13*(1-C13))</f>
        <v/>
      </c>
      <c r="Y13" t="n">
        <v>4</v>
      </c>
      <c r="Z13" s="13">
        <f>INDEX($Q$10:$Q$17,MATCH(Y13,$S$10:$S$17,0))</f>
        <v/>
      </c>
      <c r="AA13" s="13">
        <f>MIN(1,(8-Y13+1)*Z13)</f>
        <v/>
      </c>
      <c r="AB13" s="13">
        <f>MAX(AB12,AA13)</f>
        <v/>
      </c>
    </row>
    <row r="14">
      <c r="A14" t="inlineStr">
        <is>
          <t>C1</t>
        </is>
      </c>
      <c r="B14" s="8" t="n">
        <v>239</v>
      </c>
      <c r="C14" s="9" t="n">
        <v>0.028</v>
      </c>
      <c r="D14" s="4" t="n">
        <v>8</v>
      </c>
      <c r="E14" s="10">
        <f>B14*C14</f>
        <v/>
      </c>
      <c r="F14" s="11">
        <f>D14/B14</f>
        <v/>
      </c>
      <c r="G14" s="12">
        <f>(D14-E14)/SQRT(E14*(1-C14))</f>
        <v/>
      </c>
      <c r="H14" s="13">
        <f>IF(D14=0,1,1-_xlfn.BINOM.DIST(D14-1,B14,C14,TRUE))</f>
        <v/>
      </c>
      <c r="I14" s="13">
        <f>_xlfn.BINOM.DIST(D14,B14,C14,TRUE)</f>
        <v/>
      </c>
      <c r="J14" s="13">
        <f>MIN(1,2*MIN(H14,I14))</f>
        <v/>
      </c>
      <c r="K14" s="13">
        <f>2*(1-_xlfn.NORM.S.DIST(ABS(G14),TRUE))</f>
        <v/>
      </c>
      <c r="L14">
        <f>IF(E14&lt;5,"np&lt;5: no usar normal","ok")</f>
        <v/>
      </c>
      <c r="M14" s="13">
        <f>_xlfn.BETA.DIST(C14,D14+0.5,B14-D14+0.5,TRUE)</f>
        <v/>
      </c>
      <c r="N14" s="11">
        <f>IF(D14=0,0,_xlfn.BETA.INV((1-$D$6)/2,D14+0.5,B14-D14+0.5))</f>
        <v/>
      </c>
      <c r="O14" s="11">
        <f>IF(D14=B14,1,_xlfn.BETA.INV(1-(1-$D$6)/2,D14+0.5,B14-D14+0.5))</f>
        <v/>
      </c>
      <c r="P14">
        <f>IF(AND(C14&gt;=N14,C14&lt;=O14),"sí","NO")</f>
        <v/>
      </c>
      <c r="Q14" s="13">
        <f>CHOOSE($D$5,H14,J14,K14,M14)</f>
        <v/>
      </c>
      <c r="R14">
        <f>IF(Q14&lt;$D$4,"ROJO",IF(Q14&lt;$D$3,"AMARILLO","VERDE"))</f>
        <v/>
      </c>
      <c r="S14">
        <f>_xlfn.RANK.EQ(Q14,$Q$10:$Q$17,1)+COUNTIF($Q$10:Q14,Q14)-1</f>
        <v/>
      </c>
      <c r="T14" s="13">
        <f>MIN(1,8*Q14)</f>
        <v/>
      </c>
      <c r="U14" s="13">
        <f>INDEX($AB$10:$AB$17,S14)</f>
        <v/>
      </c>
      <c r="V14">
        <f>IF(U14&lt;$D$4,"ROJO",IF(U14&lt;$D$3,"AMARILLO","VERDE"))</f>
        <v/>
      </c>
      <c r="W14" s="12">
        <f>(D14-E14)^2/(E14*(1-C14))</f>
        <v/>
      </c>
      <c r="Y14" t="n">
        <v>5</v>
      </c>
      <c r="Z14" s="13">
        <f>INDEX($Q$10:$Q$17,MATCH(Y14,$S$10:$S$17,0))</f>
        <v/>
      </c>
      <c r="AA14" s="13">
        <f>MIN(1,(8-Y14+1)*Z14)</f>
        <v/>
      </c>
      <c r="AB14" s="13">
        <f>MAX(AB13,AA14)</f>
        <v/>
      </c>
    </row>
    <row r="15">
      <c r="A15" t="inlineStr">
        <is>
          <t>C2</t>
        </is>
      </c>
      <c r="B15" s="8" t="n">
        <v>220</v>
      </c>
      <c r="C15" s="9" t="n">
        <v>0.0544</v>
      </c>
      <c r="D15" s="4" t="n">
        <v>9</v>
      </c>
      <c r="E15" s="10">
        <f>B15*C15</f>
        <v/>
      </c>
      <c r="F15" s="11">
        <f>D15/B15</f>
        <v/>
      </c>
      <c r="G15" s="12">
        <f>(D15-E15)/SQRT(E15*(1-C15))</f>
        <v/>
      </c>
      <c r="H15" s="13">
        <f>IF(D15=0,1,1-_xlfn.BINOM.DIST(D15-1,B15,C15,TRUE))</f>
        <v/>
      </c>
      <c r="I15" s="13">
        <f>_xlfn.BINOM.DIST(D15,B15,C15,TRUE)</f>
        <v/>
      </c>
      <c r="J15" s="13">
        <f>MIN(1,2*MIN(H15,I15))</f>
        <v/>
      </c>
      <c r="K15" s="13">
        <f>2*(1-_xlfn.NORM.S.DIST(ABS(G15),TRUE))</f>
        <v/>
      </c>
      <c r="L15">
        <f>IF(E15&lt;5,"np&lt;5: no usar normal","ok")</f>
        <v/>
      </c>
      <c r="M15" s="13">
        <f>_xlfn.BETA.DIST(C15,D15+0.5,B15-D15+0.5,TRUE)</f>
        <v/>
      </c>
      <c r="N15" s="11">
        <f>IF(D15=0,0,_xlfn.BETA.INV((1-$D$6)/2,D15+0.5,B15-D15+0.5))</f>
        <v/>
      </c>
      <c r="O15" s="11">
        <f>IF(D15=B15,1,_xlfn.BETA.INV(1-(1-$D$6)/2,D15+0.5,B15-D15+0.5))</f>
        <v/>
      </c>
      <c r="P15">
        <f>IF(AND(C15&gt;=N15,C15&lt;=O15),"sí","NO")</f>
        <v/>
      </c>
      <c r="Q15" s="13">
        <f>CHOOSE($D$5,H15,J15,K15,M15)</f>
        <v/>
      </c>
      <c r="R15">
        <f>IF(Q15&lt;$D$4,"ROJO",IF(Q15&lt;$D$3,"AMARILLO","VERDE"))</f>
        <v/>
      </c>
      <c r="S15">
        <f>_xlfn.RANK.EQ(Q15,$Q$10:$Q$17,1)+COUNTIF($Q$10:Q15,Q15)-1</f>
        <v/>
      </c>
      <c r="T15" s="13">
        <f>MIN(1,8*Q15)</f>
        <v/>
      </c>
      <c r="U15" s="13">
        <f>INDEX($AB$10:$AB$17,S15)</f>
        <v/>
      </c>
      <c r="V15">
        <f>IF(U15&lt;$D$4,"ROJO",IF(U15&lt;$D$3,"AMARILLO","VERDE"))</f>
        <v/>
      </c>
      <c r="W15" s="12">
        <f>(D15-E15)^2/(E15*(1-C15))</f>
        <v/>
      </c>
      <c r="Y15" t="n">
        <v>6</v>
      </c>
      <c r="Z15" s="13">
        <f>INDEX($Q$10:$Q$17,MATCH(Y15,$S$10:$S$17,0))</f>
        <v/>
      </c>
      <c r="AA15" s="13">
        <f>MIN(1,(8-Y15+1)*Z15)</f>
        <v/>
      </c>
      <c r="AB15" s="13">
        <f>MAX(AB14,AA15)</f>
        <v/>
      </c>
    </row>
    <row r="16">
      <c r="A16" t="inlineStr">
        <is>
          <t>D</t>
        </is>
      </c>
      <c r="B16" s="8" t="n">
        <v>172</v>
      </c>
      <c r="C16" s="9" t="n">
        <v>0.1021</v>
      </c>
      <c r="D16" s="4" t="n">
        <v>22</v>
      </c>
      <c r="E16" s="10">
        <f>B16*C16</f>
        <v/>
      </c>
      <c r="F16" s="11">
        <f>D16/B16</f>
        <v/>
      </c>
      <c r="G16" s="12">
        <f>(D16-E16)/SQRT(E16*(1-C16))</f>
        <v/>
      </c>
      <c r="H16" s="13">
        <f>IF(D16=0,1,1-_xlfn.BINOM.DIST(D16-1,B16,C16,TRUE))</f>
        <v/>
      </c>
      <c r="I16" s="13">
        <f>_xlfn.BINOM.DIST(D16,B16,C16,TRUE)</f>
        <v/>
      </c>
      <c r="J16" s="13">
        <f>MIN(1,2*MIN(H16,I16))</f>
        <v/>
      </c>
      <c r="K16" s="13">
        <f>2*(1-_xlfn.NORM.S.DIST(ABS(G16),TRUE))</f>
        <v/>
      </c>
      <c r="L16">
        <f>IF(E16&lt;5,"np&lt;5: no usar normal","ok")</f>
        <v/>
      </c>
      <c r="M16" s="13">
        <f>_xlfn.BETA.DIST(C16,D16+0.5,B16-D16+0.5,TRUE)</f>
        <v/>
      </c>
      <c r="N16" s="11">
        <f>IF(D16=0,0,_xlfn.BETA.INV((1-$D$6)/2,D16+0.5,B16-D16+0.5))</f>
        <v/>
      </c>
      <c r="O16" s="11">
        <f>IF(D16=B16,1,_xlfn.BETA.INV(1-(1-$D$6)/2,D16+0.5,B16-D16+0.5))</f>
        <v/>
      </c>
      <c r="P16">
        <f>IF(AND(C16&gt;=N16,C16&lt;=O16),"sí","NO")</f>
        <v/>
      </c>
      <c r="Q16" s="13">
        <f>CHOOSE($D$5,H16,J16,K16,M16)</f>
        <v/>
      </c>
      <c r="R16">
        <f>IF(Q16&lt;$D$4,"ROJO",IF(Q16&lt;$D$3,"AMARILLO","VERDE"))</f>
        <v/>
      </c>
      <c r="S16">
        <f>_xlfn.RANK.EQ(Q16,$Q$10:$Q$17,1)+COUNTIF($Q$10:Q16,Q16)-1</f>
        <v/>
      </c>
      <c r="T16" s="13">
        <f>MIN(1,8*Q16)</f>
        <v/>
      </c>
      <c r="U16" s="13">
        <f>INDEX($AB$10:$AB$17,S16)</f>
        <v/>
      </c>
      <c r="V16">
        <f>IF(U16&lt;$D$4,"ROJO",IF(U16&lt;$D$3,"AMARILLO","VERDE"))</f>
        <v/>
      </c>
      <c r="W16" s="12">
        <f>(D16-E16)^2/(E16*(1-C16))</f>
        <v/>
      </c>
      <c r="Y16" t="n">
        <v>7</v>
      </c>
      <c r="Z16" s="13">
        <f>INDEX($Q$10:$Q$17,MATCH(Y16,$S$10:$S$17,0))</f>
        <v/>
      </c>
      <c r="AA16" s="13">
        <f>MIN(1,(8-Y16+1)*Z16)</f>
        <v/>
      </c>
      <c r="AB16" s="13">
        <f>MAX(AB15,AA16)</f>
        <v/>
      </c>
    </row>
    <row r="17">
      <c r="A17" t="inlineStr">
        <is>
          <t>E</t>
        </is>
      </c>
      <c r="B17" s="8" t="n">
        <v>263</v>
      </c>
      <c r="C17" s="9" t="n">
        <v>0.2691</v>
      </c>
      <c r="D17" s="4" t="n">
        <v>64</v>
      </c>
      <c r="E17" s="10">
        <f>B17*C17</f>
        <v/>
      </c>
      <c r="F17" s="11">
        <f>D17/B17</f>
        <v/>
      </c>
      <c r="G17" s="12">
        <f>(D17-E17)/SQRT(E17*(1-C17))</f>
        <v/>
      </c>
      <c r="H17" s="13">
        <f>IF(D17=0,1,1-_xlfn.BINOM.DIST(D17-1,B17,C17,TRUE))</f>
        <v/>
      </c>
      <c r="I17" s="13">
        <f>_xlfn.BINOM.DIST(D17,B17,C17,TRUE)</f>
        <v/>
      </c>
      <c r="J17" s="13">
        <f>MIN(1,2*MIN(H17,I17))</f>
        <v/>
      </c>
      <c r="K17" s="13">
        <f>2*(1-_xlfn.NORM.S.DIST(ABS(G17),TRUE))</f>
        <v/>
      </c>
      <c r="L17">
        <f>IF(E17&lt;5,"np&lt;5: no usar normal","ok")</f>
        <v/>
      </c>
      <c r="M17" s="13">
        <f>_xlfn.BETA.DIST(C17,D17+0.5,B17-D17+0.5,TRUE)</f>
        <v/>
      </c>
      <c r="N17" s="11">
        <f>IF(D17=0,0,_xlfn.BETA.INV((1-$D$6)/2,D17+0.5,B17-D17+0.5))</f>
        <v/>
      </c>
      <c r="O17" s="11">
        <f>IF(D17=B17,1,_xlfn.BETA.INV(1-(1-$D$6)/2,D17+0.5,B17-D17+0.5))</f>
        <v/>
      </c>
      <c r="P17">
        <f>IF(AND(C17&gt;=N17,C17&lt;=O17),"sí","NO")</f>
        <v/>
      </c>
      <c r="Q17" s="13">
        <f>CHOOSE($D$5,H17,J17,K17,M17)</f>
        <v/>
      </c>
      <c r="R17">
        <f>IF(Q17&lt;$D$4,"ROJO",IF(Q17&lt;$D$3,"AMARILLO","VERDE"))</f>
        <v/>
      </c>
      <c r="S17">
        <f>_xlfn.RANK.EQ(Q17,$Q$10:$Q$17,1)+COUNTIF($Q$10:Q17,Q17)-1</f>
        <v/>
      </c>
      <c r="T17" s="13">
        <f>MIN(1,8*Q17)</f>
        <v/>
      </c>
      <c r="U17" s="13">
        <f>INDEX($AB$10:$AB$17,S17)</f>
        <v/>
      </c>
      <c r="V17">
        <f>IF(U17&lt;$D$4,"ROJO",IF(U17&lt;$D$3,"AMARILLO","VERDE"))</f>
        <v/>
      </c>
      <c r="W17" s="12">
        <f>(D17-E17)^2/(E17*(1-C17))</f>
        <v/>
      </c>
      <c r="Y17" t="n">
        <v>8</v>
      </c>
      <c r="Z17" s="13">
        <f>INDEX($Q$10:$Q$17,MATCH(Y17,$S$10:$S$17,0))</f>
        <v/>
      </c>
      <c r="AA17" s="13">
        <f>MIN(1,(8-Y17+1)*Z17)</f>
        <v/>
      </c>
      <c r="AB17" s="13">
        <f>MAX(AB16,AA17)</f>
        <v/>
      </c>
    </row>
    <row r="18">
      <c r="A18" s="2" t="inlineStr">
        <is>
          <t>GLOBAL</t>
        </is>
      </c>
      <c r="B18" s="14">
        <f>SUM(B10:B17)</f>
        <v/>
      </c>
      <c r="C18" s="15">
        <f>SUMPRODUCT(B10:B17,C10:C17)/B18</f>
        <v/>
      </c>
      <c r="D18" s="16">
        <f>SUM(D10:D17)</f>
        <v/>
      </c>
      <c r="E18" s="17">
        <f>B18*C18</f>
        <v/>
      </c>
      <c r="F18" s="15">
        <f>D18/B18</f>
        <v/>
      </c>
      <c r="G18" s="18">
        <f>(D18-E18)/SQRT(E18*(1-C18))</f>
        <v/>
      </c>
      <c r="H18" s="19">
        <f>IF(D18=0,1,1-_xlfn.BINOM.DIST(D18-1,B18,C18,TRUE))</f>
        <v/>
      </c>
      <c r="I18" s="19">
        <f>_xlfn.BINOM.DIST(D18,B18,C18,TRUE)</f>
        <v/>
      </c>
      <c r="J18" s="19">
        <f>MIN(1,2*MIN(H18,I18))</f>
        <v/>
      </c>
      <c r="K18" s="19">
        <f>2*(1-_xlfn.NORM.S.DIST(ABS(G18),TRUE))</f>
        <v/>
      </c>
      <c r="L18" s="2">
        <f>IF(E18&lt;5,"np&lt;5: no usar normal","ok")</f>
        <v/>
      </c>
      <c r="M18" s="19">
        <f>_xlfn.BETA.DIST(C18,D18+0.5,B18-D18+0.5,TRUE)</f>
        <v/>
      </c>
      <c r="N18" s="15">
        <f>IF(D18=0,0,_xlfn.BETA.INV((1-$D$6)/2,D18+0.5,B18-D18+0.5))</f>
        <v/>
      </c>
      <c r="O18" s="15">
        <f>IF(D18=B18,1,_xlfn.BETA.INV(1-(1-$D$6)/2,D18+0.5,B18-D18+0.5))</f>
        <v/>
      </c>
      <c r="P18" s="2">
        <f>IF(AND(C18&gt;=N18,C18&lt;=O18),"sí","NO")</f>
        <v/>
      </c>
      <c r="Q18" s="19">
        <f>CHOOSE($D$5,H18,J18,K18,M18)</f>
        <v/>
      </c>
      <c r="R18" s="2">
        <f>IF(Q18&lt;$D$4,"ROJO",IF(Q18&lt;$D$3,"AMARILLO","VERDE"))</f>
        <v/>
      </c>
      <c r="S18" s="2" t="n"/>
      <c r="T18" s="19" t="n"/>
      <c r="U18" s="19" t="n"/>
      <c r="V18" s="2" t="n"/>
      <c r="W18" s="18" t="n"/>
      <c r="X18" s="2" t="n"/>
      <c r="Y18" s="2" t="n"/>
      <c r="Z18" s="19" t="n"/>
      <c r="AA18" s="19" t="n"/>
      <c r="AB18" s="19" t="n"/>
    </row>
    <row r="19"/>
    <row r="20">
      <c r="A20" t="inlineStr">
        <is>
          <t>Hosmer-Lemeshow sobre las 8 bandas</t>
        </is>
      </c>
      <c r="D20" s="18">
        <f>SUM(W10:W17)</f>
        <v/>
      </c>
    </row>
    <row r="21">
      <c r="A21" t="inlineStr">
        <is>
          <t>p χ² con 8 gl (validación externa: G gl)</t>
        </is>
      </c>
      <c r="D21" s="19">
        <f>_xlfn.CHISQ.DIST.RT(D20,8)</f>
        <v/>
      </c>
    </row>
    <row r="22">
      <c r="A22" t="inlineStr">
        <is>
          <t>p χ² con 6 gl (si las PD se ajustaron con estos datos: G−2)</t>
        </is>
      </c>
      <c r="D22" s="19">
        <f>_xlfn.CHISQ.DIST.RT(D20,6)</f>
        <v/>
      </c>
    </row>
    <row r="23">
      <c r="A23" t="inlineStr">
        <is>
          <t>Bandas con esperados &lt; 5 (p χ² poco fiable si &gt; 0)</t>
        </is>
      </c>
      <c r="D23" s="16">
        <f>COUNTIF(E10:E17,"&lt;5")</f>
        <v/>
      </c>
    </row>
    <row r="24">
      <c r="A24" t="inlineStr">
        <is>
          <t>Bandas con malos &gt; esperados (test de signos)</t>
        </is>
      </c>
      <c r="D24" s="16">
        <f>SUMPRODUCT(--(D10:D17&gt;E10:E17))</f>
        <v/>
      </c>
    </row>
    <row r="25">
      <c r="A25" t="inlineStr">
        <is>
          <t>p test de signos (una cola, subestimación)</t>
        </is>
      </c>
      <c r="D25" s="20">
        <f>IF(D24=0,1,1-_xlfn.BINOM.DIST(D24-1,8,0.5,TRUE))</f>
        <v/>
      </c>
    </row>
    <row r="26">
      <c r="A26" t="inlineStr">
        <is>
          <t>Bandas amarillas / rojas (sin ajuste)</t>
        </is>
      </c>
      <c r="D26" s="21">
        <f>COUNTIF(R10:R17,"AMARILLO")&amp;" / "&amp;COUNTIF(R10:R17,"ROJO")</f>
        <v/>
      </c>
    </row>
    <row r="27">
      <c r="A27" t="inlineStr">
        <is>
          <t>Bandas amarillas / rojas (Holm)</t>
        </is>
      </c>
      <c r="D27" s="21">
        <f>COUNTIF(V10:V17,"AMARILLO")&amp;" / "&amp;COUNTIF(V10:V17,"ROJO")</f>
        <v/>
      </c>
    </row>
    <row r="28">
      <c r="A28" t="inlineStr">
        <is>
          <t>P(≥1 amarillo por azar) si 8 tests exactos al α amarillo</t>
        </is>
      </c>
      <c r="D28" s="22">
        <f>1-(1-$D$3)^8</f>
        <v/>
      </c>
    </row>
  </sheetData>
  <conditionalFormatting sqref="R10:R18">
    <cfRule type="expression" priority="1" dxfId="0">
      <formula>R10="VERDE"</formula>
    </cfRule>
    <cfRule type="expression" priority="2" dxfId="1">
      <formula>R10="AMARILLO"</formula>
    </cfRule>
    <cfRule type="expression" priority="3" dxfId="2">
      <formula>R10="ROJO"</formula>
    </cfRule>
  </conditionalFormatting>
  <conditionalFormatting sqref="V10:V18">
    <cfRule type="expression" priority="4" dxfId="0">
      <formula>V10="VERDE"</formula>
    </cfRule>
    <cfRule type="expression" priority="5" dxfId="1">
      <formula>V10="AMARILLO"</formula>
    </cfRule>
    <cfRule type="expression" priority="6" dxfId="2">
      <formula>V10="ROJO"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Hosmer-Lemeshow sobre 10 grupos (viene con la lámina 24 de la clase 5: OOT de Banco Austral)</t>
        </is>
      </c>
    </row>
    <row r="2">
      <c r="A2" t="inlineStr">
        <is>
          <t>PD media = esperados/n de la lámina con 6 decimales (la columna impresa de 4 decimales daría 28,9 en vez de 29,0).</t>
        </is>
      </c>
    </row>
    <row r="3"/>
    <row r="4">
      <c r="A4" s="23" t="inlineStr">
        <is>
          <t>Grupo</t>
        </is>
      </c>
      <c r="B4" s="23" t="inlineStr">
        <is>
          <t>n</t>
        </is>
      </c>
      <c r="C4" s="23" t="inlineStr">
        <is>
          <t>PD media</t>
        </is>
      </c>
      <c r="D4" s="23" t="inlineStr">
        <is>
          <t>Observados</t>
        </is>
      </c>
      <c r="E4" s="23" t="inlineStr">
        <is>
          <t>Esperados</t>
        </is>
      </c>
      <c r="F4" s="23" t="inlineStr">
        <is>
          <t>Varianza E(1−PD)</t>
        </is>
      </c>
      <c r="G4" s="23" t="inlineStr">
        <is>
          <t>Aporte al χ²</t>
        </is>
      </c>
      <c r="H4" s="23" t="inlineStr">
        <is>
          <t>Esperados &lt; 5</t>
        </is>
      </c>
    </row>
    <row r="5">
      <c r="A5" t="n">
        <v>1</v>
      </c>
      <c r="B5" s="24" t="n">
        <v>201</v>
      </c>
      <c r="C5" s="25" t="n">
        <v>0.000527</v>
      </c>
      <c r="D5" s="24" t="n">
        <v>0</v>
      </c>
      <c r="E5" s="26">
        <f>B5*C5</f>
        <v/>
      </c>
      <c r="F5" s="26">
        <f>E5*(1-C5)</f>
        <v/>
      </c>
      <c r="G5" s="26">
        <f>(D5-E5)^2/F5</f>
        <v/>
      </c>
      <c r="H5">
        <f>IF(E5&lt;5,"sí","no")</f>
        <v/>
      </c>
    </row>
    <row r="6">
      <c r="A6" t="n">
        <v>2</v>
      </c>
      <c r="B6" s="24" t="n">
        <v>200</v>
      </c>
      <c r="C6" s="25" t="n">
        <v>0.001445</v>
      </c>
      <c r="D6" s="24" t="n">
        <v>0</v>
      </c>
      <c r="E6" s="26">
        <f>B6*C6</f>
        <v/>
      </c>
      <c r="F6" s="26">
        <f>E6*(1-C6)</f>
        <v/>
      </c>
      <c r="G6" s="26">
        <f>(D6-E6)^2/F6</f>
        <v/>
      </c>
      <c r="H6">
        <f>IF(E6&lt;5,"sí","no")</f>
        <v/>
      </c>
    </row>
    <row r="7">
      <c r="A7" t="n">
        <v>3</v>
      </c>
      <c r="B7" s="24" t="n">
        <v>200</v>
      </c>
      <c r="C7" s="25" t="n">
        <v>0.003205</v>
      </c>
      <c r="D7" s="24" t="n">
        <v>3</v>
      </c>
      <c r="E7" s="26">
        <f>B7*C7</f>
        <v/>
      </c>
      <c r="F7" s="26">
        <f>E7*(1-C7)</f>
        <v/>
      </c>
      <c r="G7" s="26">
        <f>(D7-E7)^2/F7</f>
        <v/>
      </c>
      <c r="H7">
        <f>IF(E7&lt;5,"sí","no")</f>
        <v/>
      </c>
    </row>
    <row r="8">
      <c r="A8" t="n">
        <v>4</v>
      </c>
      <c r="B8" s="24" t="n">
        <v>201</v>
      </c>
      <c r="C8" s="25" t="n">
        <v>0.006199</v>
      </c>
      <c r="D8" s="24" t="n">
        <v>2</v>
      </c>
      <c r="E8" s="26">
        <f>B8*C8</f>
        <v/>
      </c>
      <c r="F8" s="26">
        <f>E8*(1-C8)</f>
        <v/>
      </c>
      <c r="G8" s="26">
        <f>(D8-E8)^2/F8</f>
        <v/>
      </c>
      <c r="H8">
        <f>IF(E8&lt;5,"sí","no")</f>
        <v/>
      </c>
    </row>
    <row r="9">
      <c r="A9" t="n">
        <v>5</v>
      </c>
      <c r="B9" s="24" t="n">
        <v>200</v>
      </c>
      <c r="C9" s="25" t="n">
        <v>0.010955</v>
      </c>
      <c r="D9" s="24" t="n">
        <v>8</v>
      </c>
      <c r="E9" s="26">
        <f>B9*C9</f>
        <v/>
      </c>
      <c r="F9" s="26">
        <f>E9*(1-C9)</f>
        <v/>
      </c>
      <c r="G9" s="26">
        <f>(D9-E9)^2/F9</f>
        <v/>
      </c>
      <c r="H9">
        <f>IF(E9&lt;5,"sí","no")</f>
        <v/>
      </c>
    </row>
    <row r="10">
      <c r="A10" t="n">
        <v>6</v>
      </c>
      <c r="B10" s="24" t="n">
        <v>200</v>
      </c>
      <c r="C10" s="25" t="n">
        <v>0.01928</v>
      </c>
      <c r="D10" s="24" t="n">
        <v>7</v>
      </c>
      <c r="E10" s="26">
        <f>B10*C10</f>
        <v/>
      </c>
      <c r="F10" s="26">
        <f>E10*(1-C10)</f>
        <v/>
      </c>
      <c r="G10" s="26">
        <f>(D10-E10)^2/F10</f>
        <v/>
      </c>
      <c r="H10">
        <f>IF(E10&lt;5,"sí","no")</f>
        <v/>
      </c>
    </row>
    <row r="11">
      <c r="A11" t="n">
        <v>7</v>
      </c>
      <c r="B11" s="24" t="n">
        <v>201</v>
      </c>
      <c r="C11" s="25" t="n">
        <v>0.034025</v>
      </c>
      <c r="D11" s="24" t="n">
        <v>5</v>
      </c>
      <c r="E11" s="26">
        <f>B11*C11</f>
        <v/>
      </c>
      <c r="F11" s="26">
        <f>E11*(1-C11)</f>
        <v/>
      </c>
      <c r="G11" s="26">
        <f>(D11-E11)^2/F11</f>
        <v/>
      </c>
      <c r="H11">
        <f>IF(E11&lt;5,"sí","no")</f>
        <v/>
      </c>
    </row>
    <row r="12">
      <c r="A12" t="n">
        <v>8</v>
      </c>
      <c r="B12" s="24" t="n">
        <v>200</v>
      </c>
      <c r="C12" s="25" t="n">
        <v>0.062095</v>
      </c>
      <c r="D12" s="24" t="n">
        <v>11</v>
      </c>
      <c r="E12" s="26">
        <f>B12*C12</f>
        <v/>
      </c>
      <c r="F12" s="26">
        <f>E12*(1-C12)</f>
        <v/>
      </c>
      <c r="G12" s="26">
        <f>(D12-E12)^2/F12</f>
        <v/>
      </c>
      <c r="H12">
        <f>IF(E12&lt;5,"sí","no")</f>
        <v/>
      </c>
    </row>
    <row r="13">
      <c r="A13" t="n">
        <v>9</v>
      </c>
      <c r="B13" s="24" t="n">
        <v>200</v>
      </c>
      <c r="C13" s="25" t="n">
        <v>0.121145</v>
      </c>
      <c r="D13" s="24" t="n">
        <v>26</v>
      </c>
      <c r="E13" s="26">
        <f>B13*C13</f>
        <v/>
      </c>
      <c r="F13" s="26">
        <f>E13*(1-C13)</f>
        <v/>
      </c>
      <c r="G13" s="26">
        <f>(D13-E13)^2/F13</f>
        <v/>
      </c>
      <c r="H13">
        <f>IF(E13&lt;5,"sí","no")</f>
        <v/>
      </c>
    </row>
    <row r="14">
      <c r="A14" t="n">
        <v>10</v>
      </c>
      <c r="B14" s="24" t="n">
        <v>201</v>
      </c>
      <c r="C14" s="25" t="n">
        <v>0.305622</v>
      </c>
      <c r="D14" s="24" t="n">
        <v>57</v>
      </c>
      <c r="E14" s="26">
        <f>B14*C14</f>
        <v/>
      </c>
      <c r="F14" s="26">
        <f>E14*(1-C14)</f>
        <v/>
      </c>
      <c r="G14" s="26">
        <f>(D14-E14)^2/F14</f>
        <v/>
      </c>
      <c r="H14">
        <f>IF(E14&lt;5,"sí","no")</f>
        <v/>
      </c>
    </row>
    <row r="15"/>
    <row r="16">
      <c r="A16" t="inlineStr">
        <is>
          <t>HL (suma de aportes)</t>
        </is>
      </c>
      <c r="D16" s="18">
        <f>SUM(G5:G14)</f>
        <v/>
      </c>
    </row>
    <row r="17">
      <c r="A17" t="inlineStr">
        <is>
          <t>G (grupos)</t>
        </is>
      </c>
      <c r="D17" s="16">
        <f>COUNT(B5:B14)</f>
        <v/>
      </c>
    </row>
    <row r="18">
      <c r="A18" t="inlineStr">
        <is>
          <t>p χ² con G−2 gl (desarrollo; lo que usó el curso)</t>
        </is>
      </c>
      <c r="D18" s="19">
        <f>_xlfn.CHISQ.DIST.RT(D16,D17-2)</f>
        <v/>
      </c>
    </row>
    <row r="19">
      <c r="A19" t="inlineStr">
        <is>
          <t>p χ² con G gl (validación externa)</t>
        </is>
      </c>
      <c r="D19" s="19">
        <f>_xlfn.CHISQ.DIST.RT(D16,D17)</f>
        <v/>
      </c>
    </row>
    <row r="20">
      <c r="A20" t="inlineStr">
        <is>
          <t>Grupos con esperados &lt; 5</t>
        </is>
      </c>
      <c r="D20" s="16">
        <f>COUNTIF(E5:E14,"&lt;5")</f>
        <v/>
      </c>
    </row>
    <row r="21">
      <c r="A21" t="inlineStr">
        <is>
          <t>Aporte de los 2 grupos que más aportan</t>
        </is>
      </c>
      <c r="D21" s="18">
        <f>LARGE(G5:G14,1)+LARGE(G5:G14,2)</f>
        <v/>
      </c>
    </row>
    <row r="22">
      <c r="A22" t="inlineStr">
        <is>
          <t>Lectura</t>
        </is>
      </c>
      <c r="D22" s="21">
        <f>IF(D20&gt;0,"p χ² NO confiable: "&amp;D20&amp;" grupos con esperados&lt;5 → usar p simulado (notebook M19 §5)","p χ² razonable")</f>
        <v/>
      </c>
    </row>
    <row r="23">
      <c r="A23" t="inlineStr">
        <is>
          <t>Referencia: p simulado del curso (PD individuales)</t>
        </is>
      </c>
      <c r="D23" s="20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Potencia del binomial de una cola por banda</t>
        </is>
      </c>
    </row>
    <row r="2"/>
    <row r="3">
      <c r="A3" t="inlineStr">
        <is>
          <t>α (una cola)</t>
        </is>
      </c>
      <c r="D3" s="24" t="n">
        <v>0.05</v>
      </c>
    </row>
    <row r="4">
      <c r="A4" t="inlineStr">
        <is>
          <t>Multiplicador m: PD verdadera = m × PD calibrada</t>
        </is>
      </c>
      <c r="D4" s="24" t="n">
        <v>2</v>
      </c>
    </row>
    <row r="5"/>
    <row r="6" ht="45" customHeight="1">
      <c r="A6" s="27" t="inlineStr">
        <is>
          <t>Banda</t>
        </is>
      </c>
      <c r="B6" s="27" t="inlineStr">
        <is>
          <t>n</t>
        </is>
      </c>
      <c r="C6" s="27" t="inlineStr">
        <is>
          <t>PD calibrada</t>
        </is>
      </c>
      <c r="D6" s="27" t="inlineStr">
        <is>
          <t>k crítico (rechaza si malos ≥ k)</t>
        </is>
      </c>
      <c r="E6" s="27" t="inlineStr">
        <is>
          <t>Tamaño real del test</t>
        </is>
      </c>
      <c r="F6" s="27" t="inlineStr">
        <is>
          <t>PD verdadera</t>
        </is>
      </c>
      <c r="G6" s="27" t="inlineStr">
        <is>
          <t>Potencia</t>
        </is>
      </c>
      <c r="H6" s="27" t="inlineStr">
        <is>
          <t>Malos observados</t>
        </is>
      </c>
      <c r="I6" s="27" t="inlineStr">
        <is>
          <t>¿Rechaza hoy?</t>
        </is>
      </c>
    </row>
    <row r="7">
      <c r="A7">
        <f>Bandas!A10</f>
        <v/>
      </c>
      <c r="B7">
        <f>Bandas!B10</f>
        <v/>
      </c>
      <c r="C7" s="11">
        <f>Bandas!C10</f>
        <v/>
      </c>
      <c r="D7">
        <f>_xlfn.BINOM.INV(B7,C7,1-$D$3)+1</f>
        <v/>
      </c>
      <c r="E7" s="13">
        <f>1-_xlfn.BINOM.DIST(D7-1,B7,C7,TRUE)</f>
        <v/>
      </c>
      <c r="F7" s="11">
        <f>MIN(0.9999,$D$4*C7)</f>
        <v/>
      </c>
      <c r="G7" s="28">
        <f>1-_xlfn.BINOM.DIST(D7-1,B7,F7,TRUE)</f>
        <v/>
      </c>
      <c r="H7">
        <f>Bandas!D10</f>
        <v/>
      </c>
      <c r="I7">
        <f>IF(H7&gt;=D7,"sí","no")</f>
        <v/>
      </c>
    </row>
    <row r="8">
      <c r="A8">
        <f>Bandas!A11</f>
        <v/>
      </c>
      <c r="B8">
        <f>Bandas!B11</f>
        <v/>
      </c>
      <c r="C8" s="11">
        <f>Bandas!C11</f>
        <v/>
      </c>
      <c r="D8">
        <f>_xlfn.BINOM.INV(B8,C8,1-$D$3)+1</f>
        <v/>
      </c>
      <c r="E8" s="13">
        <f>1-_xlfn.BINOM.DIST(D8-1,B8,C8,TRUE)</f>
        <v/>
      </c>
      <c r="F8" s="11">
        <f>MIN(0.9999,$D$4*C8)</f>
        <v/>
      </c>
      <c r="G8" s="28">
        <f>1-_xlfn.BINOM.DIST(D8-1,B8,F8,TRUE)</f>
        <v/>
      </c>
      <c r="H8">
        <f>Bandas!D11</f>
        <v/>
      </c>
      <c r="I8">
        <f>IF(H8&gt;=D8,"sí","no")</f>
        <v/>
      </c>
    </row>
    <row r="9">
      <c r="A9">
        <f>Bandas!A12</f>
        <v/>
      </c>
      <c r="B9">
        <f>Bandas!B12</f>
        <v/>
      </c>
      <c r="C9" s="11">
        <f>Bandas!C12</f>
        <v/>
      </c>
      <c r="D9">
        <f>_xlfn.BINOM.INV(B9,C9,1-$D$3)+1</f>
        <v/>
      </c>
      <c r="E9" s="13">
        <f>1-_xlfn.BINOM.DIST(D9-1,B9,C9,TRUE)</f>
        <v/>
      </c>
      <c r="F9" s="11">
        <f>MIN(0.9999,$D$4*C9)</f>
        <v/>
      </c>
      <c r="G9" s="28">
        <f>1-_xlfn.BINOM.DIST(D9-1,B9,F9,TRUE)</f>
        <v/>
      </c>
      <c r="H9">
        <f>Bandas!D12</f>
        <v/>
      </c>
      <c r="I9">
        <f>IF(H9&gt;=D9,"sí","no")</f>
        <v/>
      </c>
    </row>
    <row r="10">
      <c r="A10">
        <f>Bandas!A13</f>
        <v/>
      </c>
      <c r="B10">
        <f>Bandas!B13</f>
        <v/>
      </c>
      <c r="C10" s="11">
        <f>Bandas!C13</f>
        <v/>
      </c>
      <c r="D10">
        <f>_xlfn.BINOM.INV(B10,C10,1-$D$3)+1</f>
        <v/>
      </c>
      <c r="E10" s="13">
        <f>1-_xlfn.BINOM.DIST(D10-1,B10,C10,TRUE)</f>
        <v/>
      </c>
      <c r="F10" s="11">
        <f>MIN(0.9999,$D$4*C10)</f>
        <v/>
      </c>
      <c r="G10" s="28">
        <f>1-_xlfn.BINOM.DIST(D10-1,B10,F10,TRUE)</f>
        <v/>
      </c>
      <c r="H10">
        <f>Bandas!D13</f>
        <v/>
      </c>
      <c r="I10">
        <f>IF(H10&gt;=D10,"sí","no")</f>
        <v/>
      </c>
    </row>
    <row r="11">
      <c r="A11">
        <f>Bandas!A14</f>
        <v/>
      </c>
      <c r="B11">
        <f>Bandas!B14</f>
        <v/>
      </c>
      <c r="C11" s="11">
        <f>Bandas!C14</f>
        <v/>
      </c>
      <c r="D11">
        <f>_xlfn.BINOM.INV(B11,C11,1-$D$3)+1</f>
        <v/>
      </c>
      <c r="E11" s="13">
        <f>1-_xlfn.BINOM.DIST(D11-1,B11,C11,TRUE)</f>
        <v/>
      </c>
      <c r="F11" s="11">
        <f>MIN(0.9999,$D$4*C11)</f>
        <v/>
      </c>
      <c r="G11" s="28">
        <f>1-_xlfn.BINOM.DIST(D11-1,B11,F11,TRUE)</f>
        <v/>
      </c>
      <c r="H11">
        <f>Bandas!D14</f>
        <v/>
      </c>
      <c r="I11">
        <f>IF(H11&gt;=D11,"sí","no")</f>
        <v/>
      </c>
    </row>
    <row r="12">
      <c r="A12">
        <f>Bandas!A15</f>
        <v/>
      </c>
      <c r="B12">
        <f>Bandas!B15</f>
        <v/>
      </c>
      <c r="C12" s="11">
        <f>Bandas!C15</f>
        <v/>
      </c>
      <c r="D12">
        <f>_xlfn.BINOM.INV(B12,C12,1-$D$3)+1</f>
        <v/>
      </c>
      <c r="E12" s="13">
        <f>1-_xlfn.BINOM.DIST(D12-1,B12,C12,TRUE)</f>
        <v/>
      </c>
      <c r="F12" s="11">
        <f>MIN(0.9999,$D$4*C12)</f>
        <v/>
      </c>
      <c r="G12" s="28">
        <f>1-_xlfn.BINOM.DIST(D12-1,B12,F12,TRUE)</f>
        <v/>
      </c>
      <c r="H12">
        <f>Bandas!D15</f>
        <v/>
      </c>
      <c r="I12">
        <f>IF(H12&gt;=D12,"sí","no")</f>
        <v/>
      </c>
    </row>
    <row r="13">
      <c r="A13">
        <f>Bandas!A16</f>
        <v/>
      </c>
      <c r="B13">
        <f>Bandas!B16</f>
        <v/>
      </c>
      <c r="C13" s="11">
        <f>Bandas!C16</f>
        <v/>
      </c>
      <c r="D13">
        <f>_xlfn.BINOM.INV(B13,C13,1-$D$3)+1</f>
        <v/>
      </c>
      <c r="E13" s="13">
        <f>1-_xlfn.BINOM.DIST(D13-1,B13,C13,TRUE)</f>
        <v/>
      </c>
      <c r="F13" s="11">
        <f>MIN(0.9999,$D$4*C13)</f>
        <v/>
      </c>
      <c r="G13" s="28">
        <f>1-_xlfn.BINOM.DIST(D13-1,B13,F13,TRUE)</f>
        <v/>
      </c>
      <c r="H13">
        <f>Bandas!D16</f>
        <v/>
      </c>
      <c r="I13">
        <f>IF(H13&gt;=D13,"sí","no")</f>
        <v/>
      </c>
    </row>
    <row r="14">
      <c r="A14">
        <f>Bandas!A17</f>
        <v/>
      </c>
      <c r="B14">
        <f>Bandas!B17</f>
        <v/>
      </c>
      <c r="C14" s="11">
        <f>Bandas!C17</f>
        <v/>
      </c>
      <c r="D14">
        <f>_xlfn.BINOM.INV(B14,C14,1-$D$3)+1</f>
        <v/>
      </c>
      <c r="E14" s="13">
        <f>1-_xlfn.BINOM.DIST(D14-1,B14,C14,TRUE)</f>
        <v/>
      </c>
      <c r="F14" s="11">
        <f>MIN(0.9999,$D$4*C14)</f>
        <v/>
      </c>
      <c r="G14" s="28">
        <f>1-_xlfn.BINOM.DIST(D14-1,B14,F14,TRUE)</f>
        <v/>
      </c>
      <c r="H14">
        <f>Bandas!D17</f>
        <v/>
      </c>
      <c r="I14">
        <f>IF(H14&gt;=D14,"sí","no")</f>
        <v/>
      </c>
    </row>
    <row r="15"/>
    <row r="16">
      <c r="A16" t="inlineStr">
        <is>
          <t>Lectura: el tamaño real es &lt; α por la discreción de la binomial. Una banda con potencia baja (p. ej. A1) no «valida» la PD cuando sale verde: no tenía cómo rechazar.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 de una cola ajustado por correlación de defaults (modelo de un factor de Vasicek)</t>
        </is>
      </c>
    </row>
    <row r="2">
      <c r="A2" t="inlineStr">
        <is>
          <t>P(D ≥ k) = ∫ P(Bin(n, p(z)) ≥ k) φ(z) dz, con p(z) = Φ((Φ⁻¹(PD) − √ρ·z)/√(1−ρ)). Trapecio sobre z ∈ [−8; 8], paso 0,1 (161 nodos).</t>
        </is>
      </c>
    </row>
    <row r="3">
      <c r="A3" t="inlineStr">
        <is>
          <t>ρ (correlación de activos)</t>
        </is>
      </c>
      <c r="D3" s="24" t="n">
        <v>0.05</v>
      </c>
    </row>
    <row r="4">
      <c r="A4" t="inlineStr">
        <is>
          <t>Suma de pesos (control, debe ser 1)</t>
        </is>
      </c>
      <c r="D4" s="29">
        <f>SUM(B20:B180)</f>
        <v/>
      </c>
    </row>
    <row r="5"/>
    <row r="6">
      <c r="A6" s="23" t="inlineStr">
        <is>
          <t>Banda</t>
        </is>
      </c>
      <c r="B6" s="23" t="inlineStr">
        <is>
          <t>n</t>
        </is>
      </c>
      <c r="C6" s="23" t="inlineStr">
        <is>
          <t>PD</t>
        </is>
      </c>
      <c r="D6" s="23" t="inlineStr">
        <is>
          <t>Malos</t>
        </is>
      </c>
      <c r="E6" s="23" t="inlineStr">
        <is>
          <t>p una cola (indep.)</t>
        </is>
      </c>
      <c r="F6" s="23" t="inlineStr">
        <is>
          <t>p una cola ajustado</t>
        </is>
      </c>
      <c r="G6" s="23" t="inlineStr">
        <is>
          <t>Semáforo ajustado</t>
        </is>
      </c>
    </row>
    <row r="7">
      <c r="A7">
        <f>Bandas!A10</f>
        <v/>
      </c>
      <c r="B7">
        <f>Bandas!B10</f>
        <v/>
      </c>
      <c r="C7" s="11">
        <f>Bandas!C10</f>
        <v/>
      </c>
      <c r="D7">
        <f>Bandas!D10</f>
        <v/>
      </c>
      <c r="E7" s="13">
        <f>Bandas!H10</f>
        <v/>
      </c>
      <c r="F7" s="13">
        <f>SUMPRODUCT($B$20:$B$180,C20:C180)/$D$4</f>
        <v/>
      </c>
      <c r="G7">
        <f>IF(F7&lt;Bandas!$D$4,"ROJO",IF(F7&lt;Bandas!$D$3,"AMARILLO","VERDE"))</f>
        <v/>
      </c>
    </row>
    <row r="8">
      <c r="A8">
        <f>Bandas!A11</f>
        <v/>
      </c>
      <c r="B8">
        <f>Bandas!B11</f>
        <v/>
      </c>
      <c r="C8" s="11">
        <f>Bandas!C11</f>
        <v/>
      </c>
      <c r="D8">
        <f>Bandas!D11</f>
        <v/>
      </c>
      <c r="E8" s="13">
        <f>Bandas!H11</f>
        <v/>
      </c>
      <c r="F8" s="13">
        <f>SUMPRODUCT($B$20:$B$180,D20:D180)/$D$4</f>
        <v/>
      </c>
      <c r="G8">
        <f>IF(F8&lt;Bandas!$D$4,"ROJO",IF(F8&lt;Bandas!$D$3,"AMARILLO","VERDE"))</f>
        <v/>
      </c>
    </row>
    <row r="9">
      <c r="A9">
        <f>Bandas!A12</f>
        <v/>
      </c>
      <c r="B9">
        <f>Bandas!B12</f>
        <v/>
      </c>
      <c r="C9" s="11">
        <f>Bandas!C12</f>
        <v/>
      </c>
      <c r="D9">
        <f>Bandas!D12</f>
        <v/>
      </c>
      <c r="E9" s="13">
        <f>Bandas!H12</f>
        <v/>
      </c>
      <c r="F9" s="13">
        <f>SUMPRODUCT($B$20:$B$180,E20:E180)/$D$4</f>
        <v/>
      </c>
      <c r="G9">
        <f>IF(F9&lt;Bandas!$D$4,"ROJO",IF(F9&lt;Bandas!$D$3,"AMARILLO","VERDE"))</f>
        <v/>
      </c>
    </row>
    <row r="10">
      <c r="A10">
        <f>Bandas!A13</f>
        <v/>
      </c>
      <c r="B10">
        <f>Bandas!B13</f>
        <v/>
      </c>
      <c r="C10" s="11">
        <f>Bandas!C13</f>
        <v/>
      </c>
      <c r="D10">
        <f>Bandas!D13</f>
        <v/>
      </c>
      <c r="E10" s="13">
        <f>Bandas!H13</f>
        <v/>
      </c>
      <c r="F10" s="13">
        <f>SUMPRODUCT($B$20:$B$180,F20:F180)/$D$4</f>
        <v/>
      </c>
      <c r="G10">
        <f>IF(F10&lt;Bandas!$D$4,"ROJO",IF(F10&lt;Bandas!$D$3,"AMARILLO","VERDE"))</f>
        <v/>
      </c>
    </row>
    <row r="11">
      <c r="A11">
        <f>Bandas!A14</f>
        <v/>
      </c>
      <c r="B11">
        <f>Bandas!B14</f>
        <v/>
      </c>
      <c r="C11" s="11">
        <f>Bandas!C14</f>
        <v/>
      </c>
      <c r="D11">
        <f>Bandas!D14</f>
        <v/>
      </c>
      <c r="E11" s="13">
        <f>Bandas!H14</f>
        <v/>
      </c>
      <c r="F11" s="13">
        <f>SUMPRODUCT($B$20:$B$180,G20:G180)/$D$4</f>
        <v/>
      </c>
      <c r="G11">
        <f>IF(F11&lt;Bandas!$D$4,"ROJO",IF(F11&lt;Bandas!$D$3,"AMARILLO","VERDE"))</f>
        <v/>
      </c>
    </row>
    <row r="12">
      <c r="A12">
        <f>Bandas!A15</f>
        <v/>
      </c>
      <c r="B12">
        <f>Bandas!B15</f>
        <v/>
      </c>
      <c r="C12" s="11">
        <f>Bandas!C15</f>
        <v/>
      </c>
      <c r="D12">
        <f>Bandas!D15</f>
        <v/>
      </c>
      <c r="E12" s="13">
        <f>Bandas!H15</f>
        <v/>
      </c>
      <c r="F12" s="13">
        <f>SUMPRODUCT($B$20:$B$180,H20:H180)/$D$4</f>
        <v/>
      </c>
      <c r="G12">
        <f>IF(F12&lt;Bandas!$D$4,"ROJO",IF(F12&lt;Bandas!$D$3,"AMARILLO","VERDE"))</f>
        <v/>
      </c>
    </row>
    <row r="13">
      <c r="A13">
        <f>Bandas!A16</f>
        <v/>
      </c>
      <c r="B13">
        <f>Bandas!B16</f>
        <v/>
      </c>
      <c r="C13" s="11">
        <f>Bandas!C16</f>
        <v/>
      </c>
      <c r="D13">
        <f>Bandas!D16</f>
        <v/>
      </c>
      <c r="E13" s="13">
        <f>Bandas!H16</f>
        <v/>
      </c>
      <c r="F13" s="13">
        <f>SUMPRODUCT($B$20:$B$180,I20:I180)/$D$4</f>
        <v/>
      </c>
      <c r="G13">
        <f>IF(F13&lt;Bandas!$D$4,"ROJO",IF(F13&lt;Bandas!$D$3,"AMARILLO","VERDE"))</f>
        <v/>
      </c>
    </row>
    <row r="14">
      <c r="A14">
        <f>Bandas!A17</f>
        <v/>
      </c>
      <c r="B14">
        <f>Bandas!B17</f>
        <v/>
      </c>
      <c r="C14" s="11">
        <f>Bandas!C17</f>
        <v/>
      </c>
      <c r="D14">
        <f>Bandas!D17</f>
        <v/>
      </c>
      <c r="E14" s="13">
        <f>Bandas!H17</f>
        <v/>
      </c>
      <c r="F14" s="13">
        <f>SUMPRODUCT($B$20:$B$180,J20:J180)/$D$4</f>
        <v/>
      </c>
      <c r="G14">
        <f>IF(F14&lt;Bandas!$D$4,"ROJO",IF(F14&lt;Bandas!$D$3,"AMARILLO","VERDE"))</f>
        <v/>
      </c>
    </row>
    <row r="15"/>
    <row r="16">
      <c r="A16" t="inlineStr">
        <is>
          <t>Lectura: el ajuste no absuelve al modelo; dice que un año malo (factor común) puede producir esa desviación. Si la PD es PIT, el ρ relevante es el residual (menor). Ver M19 §3.4.</t>
        </is>
      </c>
    </row>
    <row r="17"/>
    <row r="18"/>
    <row r="19">
      <c r="A19" s="2" t="inlineStr">
        <is>
          <t>z</t>
        </is>
      </c>
      <c r="B19" s="2" t="inlineStr">
        <is>
          <t>peso trapecio</t>
        </is>
      </c>
      <c r="C19" s="2">
        <f>A7</f>
        <v/>
      </c>
      <c r="D19" s="2">
        <f>A8</f>
        <v/>
      </c>
      <c r="E19" s="2">
        <f>A9</f>
        <v/>
      </c>
      <c r="F19" s="2">
        <f>A10</f>
        <v/>
      </c>
      <c r="G19" s="2">
        <f>A11</f>
        <v/>
      </c>
      <c r="H19" s="2">
        <f>A12</f>
        <v/>
      </c>
      <c r="I19" s="2">
        <f>A13</f>
        <v/>
      </c>
      <c r="J19" s="2">
        <f>A14</f>
        <v/>
      </c>
    </row>
    <row r="20">
      <c r="A20" t="n">
        <v>-8</v>
      </c>
      <c r="B20">
        <f>0.5*0.1*EXP(-(A20^2)/2)/SQRT(2*PI())</f>
        <v/>
      </c>
      <c r="C20">
        <f>IF($D$7=0,1,1-_xlfn.BINOM.DIST($D$7-1,$B$7,_xlfn.NORM.S.DIST((_xlfn.NORM.S.INV($C$7)-SQRT($D$3)*$A20)/SQRT(1-$D$3),TRUE),TRUE))</f>
        <v/>
      </c>
      <c r="D20">
        <f>IF($D$8=0,1,1-_xlfn.BINOM.DIST($D$8-1,$B$8,_xlfn.NORM.S.DIST((_xlfn.NORM.S.INV($C$8)-SQRT($D$3)*$A20)/SQRT(1-$D$3),TRUE),TRUE))</f>
        <v/>
      </c>
      <c r="E20">
        <f>IF($D$9=0,1,1-_xlfn.BINOM.DIST($D$9-1,$B$9,_xlfn.NORM.S.DIST((_xlfn.NORM.S.INV($C$9)-SQRT($D$3)*$A20)/SQRT(1-$D$3),TRUE),TRUE))</f>
        <v/>
      </c>
      <c r="F20">
        <f>IF($D$10=0,1,1-_xlfn.BINOM.DIST($D$10-1,$B$10,_xlfn.NORM.S.DIST((_xlfn.NORM.S.INV($C$10)-SQRT($D$3)*$A20)/SQRT(1-$D$3),TRUE),TRUE))</f>
        <v/>
      </c>
      <c r="G20">
        <f>IF($D$11=0,1,1-_xlfn.BINOM.DIST($D$11-1,$B$11,_xlfn.NORM.S.DIST((_xlfn.NORM.S.INV($C$11)-SQRT($D$3)*$A20)/SQRT(1-$D$3),TRUE),TRUE))</f>
        <v/>
      </c>
      <c r="H20">
        <f>IF($D$12=0,1,1-_xlfn.BINOM.DIST($D$12-1,$B$12,_xlfn.NORM.S.DIST((_xlfn.NORM.S.INV($C$12)-SQRT($D$3)*$A20)/SQRT(1-$D$3),TRUE),TRUE))</f>
        <v/>
      </c>
      <c r="I20">
        <f>IF($D$13=0,1,1-_xlfn.BINOM.DIST($D$13-1,$B$13,_xlfn.NORM.S.DIST((_xlfn.NORM.S.INV($C$13)-SQRT($D$3)*$A20)/SQRT(1-$D$3),TRUE),TRUE))</f>
        <v/>
      </c>
      <c r="J20">
        <f>IF($D$14=0,1,1-_xlfn.BINOM.DIST($D$14-1,$B$14,_xlfn.NORM.S.DIST((_xlfn.NORM.S.INV($C$14)-SQRT($D$3)*$A20)/SQRT(1-$D$3),TRUE),TRUE))</f>
        <v/>
      </c>
    </row>
    <row r="21">
      <c r="A21" t="n">
        <v>-7.9</v>
      </c>
      <c r="B21">
        <f>1.0*0.1*EXP(-(A21^2)/2)/SQRT(2*PI())</f>
        <v/>
      </c>
      <c r="C21">
        <f>IF($D$7=0,1,1-_xlfn.BINOM.DIST($D$7-1,$B$7,_xlfn.NORM.S.DIST((_xlfn.NORM.S.INV($C$7)-SQRT($D$3)*$A21)/SQRT(1-$D$3),TRUE),TRUE))</f>
        <v/>
      </c>
      <c r="D21">
        <f>IF($D$8=0,1,1-_xlfn.BINOM.DIST($D$8-1,$B$8,_xlfn.NORM.S.DIST((_xlfn.NORM.S.INV($C$8)-SQRT($D$3)*$A21)/SQRT(1-$D$3),TRUE),TRUE))</f>
        <v/>
      </c>
      <c r="E21">
        <f>IF($D$9=0,1,1-_xlfn.BINOM.DIST($D$9-1,$B$9,_xlfn.NORM.S.DIST((_xlfn.NORM.S.INV($C$9)-SQRT($D$3)*$A21)/SQRT(1-$D$3),TRUE),TRUE))</f>
        <v/>
      </c>
      <c r="F21">
        <f>IF($D$10=0,1,1-_xlfn.BINOM.DIST($D$10-1,$B$10,_xlfn.NORM.S.DIST((_xlfn.NORM.S.INV($C$10)-SQRT($D$3)*$A21)/SQRT(1-$D$3),TRUE),TRUE))</f>
        <v/>
      </c>
      <c r="G21">
        <f>IF($D$11=0,1,1-_xlfn.BINOM.DIST($D$11-1,$B$11,_xlfn.NORM.S.DIST((_xlfn.NORM.S.INV($C$11)-SQRT($D$3)*$A21)/SQRT(1-$D$3),TRUE),TRUE))</f>
        <v/>
      </c>
      <c r="H21">
        <f>IF($D$12=0,1,1-_xlfn.BINOM.DIST($D$12-1,$B$12,_xlfn.NORM.S.DIST((_xlfn.NORM.S.INV($C$12)-SQRT($D$3)*$A21)/SQRT(1-$D$3),TRUE),TRUE))</f>
        <v/>
      </c>
      <c r="I21">
        <f>IF($D$13=0,1,1-_xlfn.BINOM.DIST($D$13-1,$B$13,_xlfn.NORM.S.DIST((_xlfn.NORM.S.INV($C$13)-SQRT($D$3)*$A21)/SQRT(1-$D$3),TRUE),TRUE))</f>
        <v/>
      </c>
      <c r="J21">
        <f>IF($D$14=0,1,1-_xlfn.BINOM.DIST($D$14-1,$B$14,_xlfn.NORM.S.DIST((_xlfn.NORM.S.INV($C$14)-SQRT($D$3)*$A21)/SQRT(1-$D$3),TRUE),TRUE))</f>
        <v/>
      </c>
    </row>
    <row r="22">
      <c r="A22" t="n">
        <v>-7.8</v>
      </c>
      <c r="B22">
        <f>1.0*0.1*EXP(-(A22^2)/2)/SQRT(2*PI())</f>
        <v/>
      </c>
      <c r="C22">
        <f>IF($D$7=0,1,1-_xlfn.BINOM.DIST($D$7-1,$B$7,_xlfn.NORM.S.DIST((_xlfn.NORM.S.INV($C$7)-SQRT($D$3)*$A22)/SQRT(1-$D$3),TRUE),TRUE))</f>
        <v/>
      </c>
      <c r="D22">
        <f>IF($D$8=0,1,1-_xlfn.BINOM.DIST($D$8-1,$B$8,_xlfn.NORM.S.DIST((_xlfn.NORM.S.INV($C$8)-SQRT($D$3)*$A22)/SQRT(1-$D$3),TRUE),TRUE))</f>
        <v/>
      </c>
      <c r="E22">
        <f>IF($D$9=0,1,1-_xlfn.BINOM.DIST($D$9-1,$B$9,_xlfn.NORM.S.DIST((_xlfn.NORM.S.INV($C$9)-SQRT($D$3)*$A22)/SQRT(1-$D$3),TRUE),TRUE))</f>
        <v/>
      </c>
      <c r="F22">
        <f>IF($D$10=0,1,1-_xlfn.BINOM.DIST($D$10-1,$B$10,_xlfn.NORM.S.DIST((_xlfn.NORM.S.INV($C$10)-SQRT($D$3)*$A22)/SQRT(1-$D$3),TRUE),TRUE))</f>
        <v/>
      </c>
      <c r="G22">
        <f>IF($D$11=0,1,1-_xlfn.BINOM.DIST($D$11-1,$B$11,_xlfn.NORM.S.DIST((_xlfn.NORM.S.INV($C$11)-SQRT($D$3)*$A22)/SQRT(1-$D$3),TRUE),TRUE))</f>
        <v/>
      </c>
      <c r="H22">
        <f>IF($D$12=0,1,1-_xlfn.BINOM.DIST($D$12-1,$B$12,_xlfn.NORM.S.DIST((_xlfn.NORM.S.INV($C$12)-SQRT($D$3)*$A22)/SQRT(1-$D$3),TRUE),TRUE))</f>
        <v/>
      </c>
      <c r="I22">
        <f>IF($D$13=0,1,1-_xlfn.BINOM.DIST($D$13-1,$B$13,_xlfn.NORM.S.DIST((_xlfn.NORM.S.INV($C$13)-SQRT($D$3)*$A22)/SQRT(1-$D$3),TRUE),TRUE))</f>
        <v/>
      </c>
      <c r="J22">
        <f>IF($D$14=0,1,1-_xlfn.BINOM.DIST($D$14-1,$B$14,_xlfn.NORM.S.DIST((_xlfn.NORM.S.INV($C$14)-SQRT($D$3)*$A22)/SQRT(1-$D$3),TRUE),TRUE))</f>
        <v/>
      </c>
    </row>
    <row r="23">
      <c r="A23" t="n">
        <v>-7.7</v>
      </c>
      <c r="B23">
        <f>1.0*0.1*EXP(-(A23^2)/2)/SQRT(2*PI())</f>
        <v/>
      </c>
      <c r="C23">
        <f>IF($D$7=0,1,1-_xlfn.BINOM.DIST($D$7-1,$B$7,_xlfn.NORM.S.DIST((_xlfn.NORM.S.INV($C$7)-SQRT($D$3)*$A23)/SQRT(1-$D$3),TRUE),TRUE))</f>
        <v/>
      </c>
      <c r="D23">
        <f>IF($D$8=0,1,1-_xlfn.BINOM.DIST($D$8-1,$B$8,_xlfn.NORM.S.DIST((_xlfn.NORM.S.INV($C$8)-SQRT($D$3)*$A23)/SQRT(1-$D$3),TRUE),TRUE))</f>
        <v/>
      </c>
      <c r="E23">
        <f>IF($D$9=0,1,1-_xlfn.BINOM.DIST($D$9-1,$B$9,_xlfn.NORM.S.DIST((_xlfn.NORM.S.INV($C$9)-SQRT($D$3)*$A23)/SQRT(1-$D$3),TRUE),TRUE))</f>
        <v/>
      </c>
      <c r="F23">
        <f>IF($D$10=0,1,1-_xlfn.BINOM.DIST($D$10-1,$B$10,_xlfn.NORM.S.DIST((_xlfn.NORM.S.INV($C$10)-SQRT($D$3)*$A23)/SQRT(1-$D$3),TRUE),TRUE))</f>
        <v/>
      </c>
      <c r="G23">
        <f>IF($D$11=0,1,1-_xlfn.BINOM.DIST($D$11-1,$B$11,_xlfn.NORM.S.DIST((_xlfn.NORM.S.INV($C$11)-SQRT($D$3)*$A23)/SQRT(1-$D$3),TRUE),TRUE))</f>
        <v/>
      </c>
      <c r="H23">
        <f>IF($D$12=0,1,1-_xlfn.BINOM.DIST($D$12-1,$B$12,_xlfn.NORM.S.DIST((_xlfn.NORM.S.INV($C$12)-SQRT($D$3)*$A23)/SQRT(1-$D$3),TRUE),TRUE))</f>
        <v/>
      </c>
      <c r="I23">
        <f>IF($D$13=0,1,1-_xlfn.BINOM.DIST($D$13-1,$B$13,_xlfn.NORM.S.DIST((_xlfn.NORM.S.INV($C$13)-SQRT($D$3)*$A23)/SQRT(1-$D$3),TRUE),TRUE))</f>
        <v/>
      </c>
      <c r="J23">
        <f>IF($D$14=0,1,1-_xlfn.BINOM.DIST($D$14-1,$B$14,_xlfn.NORM.S.DIST((_xlfn.NORM.S.INV($C$14)-SQRT($D$3)*$A23)/SQRT(1-$D$3),TRUE),TRUE))</f>
        <v/>
      </c>
    </row>
    <row r="24">
      <c r="A24" t="n">
        <v>-7.6</v>
      </c>
      <c r="B24">
        <f>1.0*0.1*EXP(-(A24^2)/2)/SQRT(2*PI())</f>
        <v/>
      </c>
      <c r="C24">
        <f>IF($D$7=0,1,1-_xlfn.BINOM.DIST($D$7-1,$B$7,_xlfn.NORM.S.DIST((_xlfn.NORM.S.INV($C$7)-SQRT($D$3)*$A24)/SQRT(1-$D$3),TRUE),TRUE))</f>
        <v/>
      </c>
      <c r="D24">
        <f>IF($D$8=0,1,1-_xlfn.BINOM.DIST($D$8-1,$B$8,_xlfn.NORM.S.DIST((_xlfn.NORM.S.INV($C$8)-SQRT($D$3)*$A24)/SQRT(1-$D$3),TRUE),TRUE))</f>
        <v/>
      </c>
      <c r="E24">
        <f>IF($D$9=0,1,1-_xlfn.BINOM.DIST($D$9-1,$B$9,_xlfn.NORM.S.DIST((_xlfn.NORM.S.INV($C$9)-SQRT($D$3)*$A24)/SQRT(1-$D$3),TRUE),TRUE))</f>
        <v/>
      </c>
      <c r="F24">
        <f>IF($D$10=0,1,1-_xlfn.BINOM.DIST($D$10-1,$B$10,_xlfn.NORM.S.DIST((_xlfn.NORM.S.INV($C$10)-SQRT($D$3)*$A24)/SQRT(1-$D$3),TRUE),TRUE))</f>
        <v/>
      </c>
      <c r="G24">
        <f>IF($D$11=0,1,1-_xlfn.BINOM.DIST($D$11-1,$B$11,_xlfn.NORM.S.DIST((_xlfn.NORM.S.INV($C$11)-SQRT($D$3)*$A24)/SQRT(1-$D$3),TRUE),TRUE))</f>
        <v/>
      </c>
      <c r="H24">
        <f>IF($D$12=0,1,1-_xlfn.BINOM.DIST($D$12-1,$B$12,_xlfn.NORM.S.DIST((_xlfn.NORM.S.INV($C$12)-SQRT($D$3)*$A24)/SQRT(1-$D$3),TRUE),TRUE))</f>
        <v/>
      </c>
      <c r="I24">
        <f>IF($D$13=0,1,1-_xlfn.BINOM.DIST($D$13-1,$B$13,_xlfn.NORM.S.DIST((_xlfn.NORM.S.INV($C$13)-SQRT($D$3)*$A24)/SQRT(1-$D$3),TRUE),TRUE))</f>
        <v/>
      </c>
      <c r="J24">
        <f>IF($D$14=0,1,1-_xlfn.BINOM.DIST($D$14-1,$B$14,_xlfn.NORM.S.DIST((_xlfn.NORM.S.INV($C$14)-SQRT($D$3)*$A24)/SQRT(1-$D$3),TRUE),TRUE))</f>
        <v/>
      </c>
    </row>
    <row r="25">
      <c r="A25" t="n">
        <v>-7.5</v>
      </c>
      <c r="B25">
        <f>1.0*0.1*EXP(-(A25^2)/2)/SQRT(2*PI())</f>
        <v/>
      </c>
      <c r="C25">
        <f>IF($D$7=0,1,1-_xlfn.BINOM.DIST($D$7-1,$B$7,_xlfn.NORM.S.DIST((_xlfn.NORM.S.INV($C$7)-SQRT($D$3)*$A25)/SQRT(1-$D$3),TRUE),TRUE))</f>
        <v/>
      </c>
      <c r="D25">
        <f>IF($D$8=0,1,1-_xlfn.BINOM.DIST($D$8-1,$B$8,_xlfn.NORM.S.DIST((_xlfn.NORM.S.INV($C$8)-SQRT($D$3)*$A25)/SQRT(1-$D$3),TRUE),TRUE))</f>
        <v/>
      </c>
      <c r="E25">
        <f>IF($D$9=0,1,1-_xlfn.BINOM.DIST($D$9-1,$B$9,_xlfn.NORM.S.DIST((_xlfn.NORM.S.INV($C$9)-SQRT($D$3)*$A25)/SQRT(1-$D$3),TRUE),TRUE))</f>
        <v/>
      </c>
      <c r="F25">
        <f>IF($D$10=0,1,1-_xlfn.BINOM.DIST($D$10-1,$B$10,_xlfn.NORM.S.DIST((_xlfn.NORM.S.INV($C$10)-SQRT($D$3)*$A25)/SQRT(1-$D$3),TRUE),TRUE))</f>
        <v/>
      </c>
      <c r="G25">
        <f>IF($D$11=0,1,1-_xlfn.BINOM.DIST($D$11-1,$B$11,_xlfn.NORM.S.DIST((_xlfn.NORM.S.INV($C$11)-SQRT($D$3)*$A25)/SQRT(1-$D$3),TRUE),TRUE))</f>
        <v/>
      </c>
      <c r="H25">
        <f>IF($D$12=0,1,1-_xlfn.BINOM.DIST($D$12-1,$B$12,_xlfn.NORM.S.DIST((_xlfn.NORM.S.INV($C$12)-SQRT($D$3)*$A25)/SQRT(1-$D$3),TRUE),TRUE))</f>
        <v/>
      </c>
      <c r="I25">
        <f>IF($D$13=0,1,1-_xlfn.BINOM.DIST($D$13-1,$B$13,_xlfn.NORM.S.DIST((_xlfn.NORM.S.INV($C$13)-SQRT($D$3)*$A25)/SQRT(1-$D$3),TRUE),TRUE))</f>
        <v/>
      </c>
      <c r="J25">
        <f>IF($D$14=0,1,1-_xlfn.BINOM.DIST($D$14-1,$B$14,_xlfn.NORM.S.DIST((_xlfn.NORM.S.INV($C$14)-SQRT($D$3)*$A25)/SQRT(1-$D$3),TRUE),TRUE))</f>
        <v/>
      </c>
    </row>
    <row r="26">
      <c r="A26" t="n">
        <v>-7.4</v>
      </c>
      <c r="B26">
        <f>1.0*0.1*EXP(-(A26^2)/2)/SQRT(2*PI())</f>
        <v/>
      </c>
      <c r="C26">
        <f>IF($D$7=0,1,1-_xlfn.BINOM.DIST($D$7-1,$B$7,_xlfn.NORM.S.DIST((_xlfn.NORM.S.INV($C$7)-SQRT($D$3)*$A26)/SQRT(1-$D$3),TRUE),TRUE))</f>
        <v/>
      </c>
      <c r="D26">
        <f>IF($D$8=0,1,1-_xlfn.BINOM.DIST($D$8-1,$B$8,_xlfn.NORM.S.DIST((_xlfn.NORM.S.INV($C$8)-SQRT($D$3)*$A26)/SQRT(1-$D$3),TRUE),TRUE))</f>
        <v/>
      </c>
      <c r="E26">
        <f>IF($D$9=0,1,1-_xlfn.BINOM.DIST($D$9-1,$B$9,_xlfn.NORM.S.DIST((_xlfn.NORM.S.INV($C$9)-SQRT($D$3)*$A26)/SQRT(1-$D$3),TRUE),TRUE))</f>
        <v/>
      </c>
      <c r="F26">
        <f>IF($D$10=0,1,1-_xlfn.BINOM.DIST($D$10-1,$B$10,_xlfn.NORM.S.DIST((_xlfn.NORM.S.INV($C$10)-SQRT($D$3)*$A26)/SQRT(1-$D$3),TRUE),TRUE))</f>
        <v/>
      </c>
      <c r="G26">
        <f>IF($D$11=0,1,1-_xlfn.BINOM.DIST($D$11-1,$B$11,_xlfn.NORM.S.DIST((_xlfn.NORM.S.INV($C$11)-SQRT($D$3)*$A26)/SQRT(1-$D$3),TRUE),TRUE))</f>
        <v/>
      </c>
      <c r="H26">
        <f>IF($D$12=0,1,1-_xlfn.BINOM.DIST($D$12-1,$B$12,_xlfn.NORM.S.DIST((_xlfn.NORM.S.INV($C$12)-SQRT($D$3)*$A26)/SQRT(1-$D$3),TRUE),TRUE))</f>
        <v/>
      </c>
      <c r="I26">
        <f>IF($D$13=0,1,1-_xlfn.BINOM.DIST($D$13-1,$B$13,_xlfn.NORM.S.DIST((_xlfn.NORM.S.INV($C$13)-SQRT($D$3)*$A26)/SQRT(1-$D$3),TRUE),TRUE))</f>
        <v/>
      </c>
      <c r="J26">
        <f>IF($D$14=0,1,1-_xlfn.BINOM.DIST($D$14-1,$B$14,_xlfn.NORM.S.DIST((_xlfn.NORM.S.INV($C$14)-SQRT($D$3)*$A26)/SQRT(1-$D$3),TRUE),TRUE))</f>
        <v/>
      </c>
    </row>
    <row r="27">
      <c r="A27" t="n">
        <v>-7.3</v>
      </c>
      <c r="B27">
        <f>1.0*0.1*EXP(-(A27^2)/2)/SQRT(2*PI())</f>
        <v/>
      </c>
      <c r="C27">
        <f>IF($D$7=0,1,1-_xlfn.BINOM.DIST($D$7-1,$B$7,_xlfn.NORM.S.DIST((_xlfn.NORM.S.INV($C$7)-SQRT($D$3)*$A27)/SQRT(1-$D$3),TRUE),TRUE))</f>
        <v/>
      </c>
      <c r="D27">
        <f>IF($D$8=0,1,1-_xlfn.BINOM.DIST($D$8-1,$B$8,_xlfn.NORM.S.DIST((_xlfn.NORM.S.INV($C$8)-SQRT($D$3)*$A27)/SQRT(1-$D$3),TRUE),TRUE))</f>
        <v/>
      </c>
      <c r="E27">
        <f>IF($D$9=0,1,1-_xlfn.BINOM.DIST($D$9-1,$B$9,_xlfn.NORM.S.DIST((_xlfn.NORM.S.INV($C$9)-SQRT($D$3)*$A27)/SQRT(1-$D$3),TRUE),TRUE))</f>
        <v/>
      </c>
      <c r="F27">
        <f>IF($D$10=0,1,1-_xlfn.BINOM.DIST($D$10-1,$B$10,_xlfn.NORM.S.DIST((_xlfn.NORM.S.INV($C$10)-SQRT($D$3)*$A27)/SQRT(1-$D$3),TRUE),TRUE))</f>
        <v/>
      </c>
      <c r="G27">
        <f>IF($D$11=0,1,1-_xlfn.BINOM.DIST($D$11-1,$B$11,_xlfn.NORM.S.DIST((_xlfn.NORM.S.INV($C$11)-SQRT($D$3)*$A27)/SQRT(1-$D$3),TRUE),TRUE))</f>
        <v/>
      </c>
      <c r="H27">
        <f>IF($D$12=0,1,1-_xlfn.BINOM.DIST($D$12-1,$B$12,_xlfn.NORM.S.DIST((_xlfn.NORM.S.INV($C$12)-SQRT($D$3)*$A27)/SQRT(1-$D$3),TRUE),TRUE))</f>
        <v/>
      </c>
      <c r="I27">
        <f>IF($D$13=0,1,1-_xlfn.BINOM.DIST($D$13-1,$B$13,_xlfn.NORM.S.DIST((_xlfn.NORM.S.INV($C$13)-SQRT($D$3)*$A27)/SQRT(1-$D$3),TRUE),TRUE))</f>
        <v/>
      </c>
      <c r="J27">
        <f>IF($D$14=0,1,1-_xlfn.BINOM.DIST($D$14-1,$B$14,_xlfn.NORM.S.DIST((_xlfn.NORM.S.INV($C$14)-SQRT($D$3)*$A27)/SQRT(1-$D$3),TRUE),TRUE))</f>
        <v/>
      </c>
    </row>
    <row r="28">
      <c r="A28" t="n">
        <v>-7.2</v>
      </c>
      <c r="B28">
        <f>1.0*0.1*EXP(-(A28^2)/2)/SQRT(2*PI())</f>
        <v/>
      </c>
      <c r="C28">
        <f>IF($D$7=0,1,1-_xlfn.BINOM.DIST($D$7-1,$B$7,_xlfn.NORM.S.DIST((_xlfn.NORM.S.INV($C$7)-SQRT($D$3)*$A28)/SQRT(1-$D$3),TRUE),TRUE))</f>
        <v/>
      </c>
      <c r="D28">
        <f>IF($D$8=0,1,1-_xlfn.BINOM.DIST($D$8-1,$B$8,_xlfn.NORM.S.DIST((_xlfn.NORM.S.INV($C$8)-SQRT($D$3)*$A28)/SQRT(1-$D$3),TRUE),TRUE))</f>
        <v/>
      </c>
      <c r="E28">
        <f>IF($D$9=0,1,1-_xlfn.BINOM.DIST($D$9-1,$B$9,_xlfn.NORM.S.DIST((_xlfn.NORM.S.INV($C$9)-SQRT($D$3)*$A28)/SQRT(1-$D$3),TRUE),TRUE))</f>
        <v/>
      </c>
      <c r="F28">
        <f>IF($D$10=0,1,1-_xlfn.BINOM.DIST($D$10-1,$B$10,_xlfn.NORM.S.DIST((_xlfn.NORM.S.INV($C$10)-SQRT($D$3)*$A28)/SQRT(1-$D$3),TRUE),TRUE))</f>
        <v/>
      </c>
      <c r="G28">
        <f>IF($D$11=0,1,1-_xlfn.BINOM.DIST($D$11-1,$B$11,_xlfn.NORM.S.DIST((_xlfn.NORM.S.INV($C$11)-SQRT($D$3)*$A28)/SQRT(1-$D$3),TRUE),TRUE))</f>
        <v/>
      </c>
      <c r="H28">
        <f>IF($D$12=0,1,1-_xlfn.BINOM.DIST($D$12-1,$B$12,_xlfn.NORM.S.DIST((_xlfn.NORM.S.INV($C$12)-SQRT($D$3)*$A28)/SQRT(1-$D$3),TRUE),TRUE))</f>
        <v/>
      </c>
      <c r="I28">
        <f>IF($D$13=0,1,1-_xlfn.BINOM.DIST($D$13-1,$B$13,_xlfn.NORM.S.DIST((_xlfn.NORM.S.INV($C$13)-SQRT($D$3)*$A28)/SQRT(1-$D$3),TRUE),TRUE))</f>
        <v/>
      </c>
      <c r="J28">
        <f>IF($D$14=0,1,1-_xlfn.BINOM.DIST($D$14-1,$B$14,_xlfn.NORM.S.DIST((_xlfn.NORM.S.INV($C$14)-SQRT($D$3)*$A28)/SQRT(1-$D$3),TRUE),TRUE))</f>
        <v/>
      </c>
    </row>
    <row r="29">
      <c r="A29" t="n">
        <v>-7.1</v>
      </c>
      <c r="B29">
        <f>1.0*0.1*EXP(-(A29^2)/2)/SQRT(2*PI())</f>
        <v/>
      </c>
      <c r="C29">
        <f>IF($D$7=0,1,1-_xlfn.BINOM.DIST($D$7-1,$B$7,_xlfn.NORM.S.DIST((_xlfn.NORM.S.INV($C$7)-SQRT($D$3)*$A29)/SQRT(1-$D$3),TRUE),TRUE))</f>
        <v/>
      </c>
      <c r="D29">
        <f>IF($D$8=0,1,1-_xlfn.BINOM.DIST($D$8-1,$B$8,_xlfn.NORM.S.DIST((_xlfn.NORM.S.INV($C$8)-SQRT($D$3)*$A29)/SQRT(1-$D$3),TRUE),TRUE))</f>
        <v/>
      </c>
      <c r="E29">
        <f>IF($D$9=0,1,1-_xlfn.BINOM.DIST($D$9-1,$B$9,_xlfn.NORM.S.DIST((_xlfn.NORM.S.INV($C$9)-SQRT($D$3)*$A29)/SQRT(1-$D$3),TRUE),TRUE))</f>
        <v/>
      </c>
      <c r="F29">
        <f>IF($D$10=0,1,1-_xlfn.BINOM.DIST($D$10-1,$B$10,_xlfn.NORM.S.DIST((_xlfn.NORM.S.INV($C$10)-SQRT($D$3)*$A29)/SQRT(1-$D$3),TRUE),TRUE))</f>
        <v/>
      </c>
      <c r="G29">
        <f>IF($D$11=0,1,1-_xlfn.BINOM.DIST($D$11-1,$B$11,_xlfn.NORM.S.DIST((_xlfn.NORM.S.INV($C$11)-SQRT($D$3)*$A29)/SQRT(1-$D$3),TRUE),TRUE))</f>
        <v/>
      </c>
      <c r="H29">
        <f>IF($D$12=0,1,1-_xlfn.BINOM.DIST($D$12-1,$B$12,_xlfn.NORM.S.DIST((_xlfn.NORM.S.INV($C$12)-SQRT($D$3)*$A29)/SQRT(1-$D$3),TRUE),TRUE))</f>
        <v/>
      </c>
      <c r="I29">
        <f>IF($D$13=0,1,1-_xlfn.BINOM.DIST($D$13-1,$B$13,_xlfn.NORM.S.DIST((_xlfn.NORM.S.INV($C$13)-SQRT($D$3)*$A29)/SQRT(1-$D$3),TRUE),TRUE))</f>
        <v/>
      </c>
      <c r="J29">
        <f>IF($D$14=0,1,1-_xlfn.BINOM.DIST($D$14-1,$B$14,_xlfn.NORM.S.DIST((_xlfn.NORM.S.INV($C$14)-SQRT($D$3)*$A29)/SQRT(1-$D$3),TRUE),TRUE))</f>
        <v/>
      </c>
    </row>
    <row r="30">
      <c r="A30" t="n">
        <v>-7</v>
      </c>
      <c r="B30">
        <f>1.0*0.1*EXP(-(A30^2)/2)/SQRT(2*PI())</f>
        <v/>
      </c>
      <c r="C30">
        <f>IF($D$7=0,1,1-_xlfn.BINOM.DIST($D$7-1,$B$7,_xlfn.NORM.S.DIST((_xlfn.NORM.S.INV($C$7)-SQRT($D$3)*$A30)/SQRT(1-$D$3),TRUE),TRUE))</f>
        <v/>
      </c>
      <c r="D30">
        <f>IF($D$8=0,1,1-_xlfn.BINOM.DIST($D$8-1,$B$8,_xlfn.NORM.S.DIST((_xlfn.NORM.S.INV($C$8)-SQRT($D$3)*$A30)/SQRT(1-$D$3),TRUE),TRUE))</f>
        <v/>
      </c>
      <c r="E30">
        <f>IF($D$9=0,1,1-_xlfn.BINOM.DIST($D$9-1,$B$9,_xlfn.NORM.S.DIST((_xlfn.NORM.S.INV($C$9)-SQRT($D$3)*$A30)/SQRT(1-$D$3),TRUE),TRUE))</f>
        <v/>
      </c>
      <c r="F30">
        <f>IF($D$10=0,1,1-_xlfn.BINOM.DIST($D$10-1,$B$10,_xlfn.NORM.S.DIST((_xlfn.NORM.S.INV($C$10)-SQRT($D$3)*$A30)/SQRT(1-$D$3),TRUE),TRUE))</f>
        <v/>
      </c>
      <c r="G30">
        <f>IF($D$11=0,1,1-_xlfn.BINOM.DIST($D$11-1,$B$11,_xlfn.NORM.S.DIST((_xlfn.NORM.S.INV($C$11)-SQRT($D$3)*$A30)/SQRT(1-$D$3),TRUE),TRUE))</f>
        <v/>
      </c>
      <c r="H30">
        <f>IF($D$12=0,1,1-_xlfn.BINOM.DIST($D$12-1,$B$12,_xlfn.NORM.S.DIST((_xlfn.NORM.S.INV($C$12)-SQRT($D$3)*$A30)/SQRT(1-$D$3),TRUE),TRUE))</f>
        <v/>
      </c>
      <c r="I30">
        <f>IF($D$13=0,1,1-_xlfn.BINOM.DIST($D$13-1,$B$13,_xlfn.NORM.S.DIST((_xlfn.NORM.S.INV($C$13)-SQRT($D$3)*$A30)/SQRT(1-$D$3),TRUE),TRUE))</f>
        <v/>
      </c>
      <c r="J30">
        <f>IF($D$14=0,1,1-_xlfn.BINOM.DIST($D$14-1,$B$14,_xlfn.NORM.S.DIST((_xlfn.NORM.S.INV($C$14)-SQRT($D$3)*$A30)/SQRT(1-$D$3),TRUE),TRUE))</f>
        <v/>
      </c>
    </row>
    <row r="31">
      <c r="A31" t="n">
        <v>-6.9</v>
      </c>
      <c r="B31">
        <f>1.0*0.1*EXP(-(A31^2)/2)/SQRT(2*PI())</f>
        <v/>
      </c>
      <c r="C31">
        <f>IF($D$7=0,1,1-_xlfn.BINOM.DIST($D$7-1,$B$7,_xlfn.NORM.S.DIST((_xlfn.NORM.S.INV($C$7)-SQRT($D$3)*$A31)/SQRT(1-$D$3),TRUE),TRUE))</f>
        <v/>
      </c>
      <c r="D31">
        <f>IF($D$8=0,1,1-_xlfn.BINOM.DIST($D$8-1,$B$8,_xlfn.NORM.S.DIST((_xlfn.NORM.S.INV($C$8)-SQRT($D$3)*$A31)/SQRT(1-$D$3),TRUE),TRUE))</f>
        <v/>
      </c>
      <c r="E31">
        <f>IF($D$9=0,1,1-_xlfn.BINOM.DIST($D$9-1,$B$9,_xlfn.NORM.S.DIST((_xlfn.NORM.S.INV($C$9)-SQRT($D$3)*$A31)/SQRT(1-$D$3),TRUE),TRUE))</f>
        <v/>
      </c>
      <c r="F31">
        <f>IF($D$10=0,1,1-_xlfn.BINOM.DIST($D$10-1,$B$10,_xlfn.NORM.S.DIST((_xlfn.NORM.S.INV($C$10)-SQRT($D$3)*$A31)/SQRT(1-$D$3),TRUE),TRUE))</f>
        <v/>
      </c>
      <c r="G31">
        <f>IF($D$11=0,1,1-_xlfn.BINOM.DIST($D$11-1,$B$11,_xlfn.NORM.S.DIST((_xlfn.NORM.S.INV($C$11)-SQRT($D$3)*$A31)/SQRT(1-$D$3),TRUE),TRUE))</f>
        <v/>
      </c>
      <c r="H31">
        <f>IF($D$12=0,1,1-_xlfn.BINOM.DIST($D$12-1,$B$12,_xlfn.NORM.S.DIST((_xlfn.NORM.S.INV($C$12)-SQRT($D$3)*$A31)/SQRT(1-$D$3),TRUE),TRUE))</f>
        <v/>
      </c>
      <c r="I31">
        <f>IF($D$13=0,1,1-_xlfn.BINOM.DIST($D$13-1,$B$13,_xlfn.NORM.S.DIST((_xlfn.NORM.S.INV($C$13)-SQRT($D$3)*$A31)/SQRT(1-$D$3),TRUE),TRUE))</f>
        <v/>
      </c>
      <c r="J31">
        <f>IF($D$14=0,1,1-_xlfn.BINOM.DIST($D$14-1,$B$14,_xlfn.NORM.S.DIST((_xlfn.NORM.S.INV($C$14)-SQRT($D$3)*$A31)/SQRT(1-$D$3),TRUE),TRUE))</f>
        <v/>
      </c>
    </row>
    <row r="32">
      <c r="A32" t="n">
        <v>-6.8</v>
      </c>
      <c r="B32">
        <f>1.0*0.1*EXP(-(A32^2)/2)/SQRT(2*PI())</f>
        <v/>
      </c>
      <c r="C32">
        <f>IF($D$7=0,1,1-_xlfn.BINOM.DIST($D$7-1,$B$7,_xlfn.NORM.S.DIST((_xlfn.NORM.S.INV($C$7)-SQRT($D$3)*$A32)/SQRT(1-$D$3),TRUE),TRUE))</f>
        <v/>
      </c>
      <c r="D32">
        <f>IF($D$8=0,1,1-_xlfn.BINOM.DIST($D$8-1,$B$8,_xlfn.NORM.S.DIST((_xlfn.NORM.S.INV($C$8)-SQRT($D$3)*$A32)/SQRT(1-$D$3),TRUE),TRUE))</f>
        <v/>
      </c>
      <c r="E32">
        <f>IF($D$9=0,1,1-_xlfn.BINOM.DIST($D$9-1,$B$9,_xlfn.NORM.S.DIST((_xlfn.NORM.S.INV($C$9)-SQRT($D$3)*$A32)/SQRT(1-$D$3),TRUE),TRUE))</f>
        <v/>
      </c>
      <c r="F32">
        <f>IF($D$10=0,1,1-_xlfn.BINOM.DIST($D$10-1,$B$10,_xlfn.NORM.S.DIST((_xlfn.NORM.S.INV($C$10)-SQRT($D$3)*$A32)/SQRT(1-$D$3),TRUE),TRUE))</f>
        <v/>
      </c>
      <c r="G32">
        <f>IF($D$11=0,1,1-_xlfn.BINOM.DIST($D$11-1,$B$11,_xlfn.NORM.S.DIST((_xlfn.NORM.S.INV($C$11)-SQRT($D$3)*$A32)/SQRT(1-$D$3),TRUE),TRUE))</f>
        <v/>
      </c>
      <c r="H32">
        <f>IF($D$12=0,1,1-_xlfn.BINOM.DIST($D$12-1,$B$12,_xlfn.NORM.S.DIST((_xlfn.NORM.S.INV($C$12)-SQRT($D$3)*$A32)/SQRT(1-$D$3),TRUE),TRUE))</f>
        <v/>
      </c>
      <c r="I32">
        <f>IF($D$13=0,1,1-_xlfn.BINOM.DIST($D$13-1,$B$13,_xlfn.NORM.S.DIST((_xlfn.NORM.S.INV($C$13)-SQRT($D$3)*$A32)/SQRT(1-$D$3),TRUE),TRUE))</f>
        <v/>
      </c>
      <c r="J32">
        <f>IF($D$14=0,1,1-_xlfn.BINOM.DIST($D$14-1,$B$14,_xlfn.NORM.S.DIST((_xlfn.NORM.S.INV($C$14)-SQRT($D$3)*$A32)/SQRT(1-$D$3),TRUE),TRUE))</f>
        <v/>
      </c>
    </row>
    <row r="33">
      <c r="A33" t="n">
        <v>-6.7</v>
      </c>
      <c r="B33">
        <f>1.0*0.1*EXP(-(A33^2)/2)/SQRT(2*PI())</f>
        <v/>
      </c>
      <c r="C33">
        <f>IF($D$7=0,1,1-_xlfn.BINOM.DIST($D$7-1,$B$7,_xlfn.NORM.S.DIST((_xlfn.NORM.S.INV($C$7)-SQRT($D$3)*$A33)/SQRT(1-$D$3),TRUE),TRUE))</f>
        <v/>
      </c>
      <c r="D33">
        <f>IF($D$8=0,1,1-_xlfn.BINOM.DIST($D$8-1,$B$8,_xlfn.NORM.S.DIST((_xlfn.NORM.S.INV($C$8)-SQRT($D$3)*$A33)/SQRT(1-$D$3),TRUE),TRUE))</f>
        <v/>
      </c>
      <c r="E33">
        <f>IF($D$9=0,1,1-_xlfn.BINOM.DIST($D$9-1,$B$9,_xlfn.NORM.S.DIST((_xlfn.NORM.S.INV($C$9)-SQRT($D$3)*$A33)/SQRT(1-$D$3),TRUE),TRUE))</f>
        <v/>
      </c>
      <c r="F33">
        <f>IF($D$10=0,1,1-_xlfn.BINOM.DIST($D$10-1,$B$10,_xlfn.NORM.S.DIST((_xlfn.NORM.S.INV($C$10)-SQRT($D$3)*$A33)/SQRT(1-$D$3),TRUE),TRUE))</f>
        <v/>
      </c>
      <c r="G33">
        <f>IF($D$11=0,1,1-_xlfn.BINOM.DIST($D$11-1,$B$11,_xlfn.NORM.S.DIST((_xlfn.NORM.S.INV($C$11)-SQRT($D$3)*$A33)/SQRT(1-$D$3),TRUE),TRUE))</f>
        <v/>
      </c>
      <c r="H33">
        <f>IF($D$12=0,1,1-_xlfn.BINOM.DIST($D$12-1,$B$12,_xlfn.NORM.S.DIST((_xlfn.NORM.S.INV($C$12)-SQRT($D$3)*$A33)/SQRT(1-$D$3),TRUE),TRUE))</f>
        <v/>
      </c>
      <c r="I33">
        <f>IF($D$13=0,1,1-_xlfn.BINOM.DIST($D$13-1,$B$13,_xlfn.NORM.S.DIST((_xlfn.NORM.S.INV($C$13)-SQRT($D$3)*$A33)/SQRT(1-$D$3),TRUE),TRUE))</f>
        <v/>
      </c>
      <c r="J33">
        <f>IF($D$14=0,1,1-_xlfn.BINOM.DIST($D$14-1,$B$14,_xlfn.NORM.S.DIST((_xlfn.NORM.S.INV($C$14)-SQRT($D$3)*$A33)/SQRT(1-$D$3),TRUE),TRUE))</f>
        <v/>
      </c>
    </row>
    <row r="34">
      <c r="A34" t="n">
        <v>-6.6</v>
      </c>
      <c r="B34">
        <f>1.0*0.1*EXP(-(A34^2)/2)/SQRT(2*PI())</f>
        <v/>
      </c>
      <c r="C34">
        <f>IF($D$7=0,1,1-_xlfn.BINOM.DIST($D$7-1,$B$7,_xlfn.NORM.S.DIST((_xlfn.NORM.S.INV($C$7)-SQRT($D$3)*$A34)/SQRT(1-$D$3),TRUE),TRUE))</f>
        <v/>
      </c>
      <c r="D34">
        <f>IF($D$8=0,1,1-_xlfn.BINOM.DIST($D$8-1,$B$8,_xlfn.NORM.S.DIST((_xlfn.NORM.S.INV($C$8)-SQRT($D$3)*$A34)/SQRT(1-$D$3),TRUE),TRUE))</f>
        <v/>
      </c>
      <c r="E34">
        <f>IF($D$9=0,1,1-_xlfn.BINOM.DIST($D$9-1,$B$9,_xlfn.NORM.S.DIST((_xlfn.NORM.S.INV($C$9)-SQRT($D$3)*$A34)/SQRT(1-$D$3),TRUE),TRUE))</f>
        <v/>
      </c>
      <c r="F34">
        <f>IF($D$10=0,1,1-_xlfn.BINOM.DIST($D$10-1,$B$10,_xlfn.NORM.S.DIST((_xlfn.NORM.S.INV($C$10)-SQRT($D$3)*$A34)/SQRT(1-$D$3),TRUE),TRUE))</f>
        <v/>
      </c>
      <c r="G34">
        <f>IF($D$11=0,1,1-_xlfn.BINOM.DIST($D$11-1,$B$11,_xlfn.NORM.S.DIST((_xlfn.NORM.S.INV($C$11)-SQRT($D$3)*$A34)/SQRT(1-$D$3),TRUE),TRUE))</f>
        <v/>
      </c>
      <c r="H34">
        <f>IF($D$12=0,1,1-_xlfn.BINOM.DIST($D$12-1,$B$12,_xlfn.NORM.S.DIST((_xlfn.NORM.S.INV($C$12)-SQRT($D$3)*$A34)/SQRT(1-$D$3),TRUE),TRUE))</f>
        <v/>
      </c>
      <c r="I34">
        <f>IF($D$13=0,1,1-_xlfn.BINOM.DIST($D$13-1,$B$13,_xlfn.NORM.S.DIST((_xlfn.NORM.S.INV($C$13)-SQRT($D$3)*$A34)/SQRT(1-$D$3),TRUE),TRUE))</f>
        <v/>
      </c>
      <c r="J34">
        <f>IF($D$14=0,1,1-_xlfn.BINOM.DIST($D$14-1,$B$14,_xlfn.NORM.S.DIST((_xlfn.NORM.S.INV($C$14)-SQRT($D$3)*$A34)/SQRT(1-$D$3),TRUE),TRUE))</f>
        <v/>
      </c>
    </row>
    <row r="35">
      <c r="A35" t="n">
        <v>-6.5</v>
      </c>
      <c r="B35">
        <f>1.0*0.1*EXP(-(A35^2)/2)/SQRT(2*PI())</f>
        <v/>
      </c>
      <c r="C35">
        <f>IF($D$7=0,1,1-_xlfn.BINOM.DIST($D$7-1,$B$7,_xlfn.NORM.S.DIST((_xlfn.NORM.S.INV($C$7)-SQRT($D$3)*$A35)/SQRT(1-$D$3),TRUE),TRUE))</f>
        <v/>
      </c>
      <c r="D35">
        <f>IF($D$8=0,1,1-_xlfn.BINOM.DIST($D$8-1,$B$8,_xlfn.NORM.S.DIST((_xlfn.NORM.S.INV($C$8)-SQRT($D$3)*$A35)/SQRT(1-$D$3),TRUE),TRUE))</f>
        <v/>
      </c>
      <c r="E35">
        <f>IF($D$9=0,1,1-_xlfn.BINOM.DIST($D$9-1,$B$9,_xlfn.NORM.S.DIST((_xlfn.NORM.S.INV($C$9)-SQRT($D$3)*$A35)/SQRT(1-$D$3),TRUE),TRUE))</f>
        <v/>
      </c>
      <c r="F35">
        <f>IF($D$10=0,1,1-_xlfn.BINOM.DIST($D$10-1,$B$10,_xlfn.NORM.S.DIST((_xlfn.NORM.S.INV($C$10)-SQRT($D$3)*$A35)/SQRT(1-$D$3),TRUE),TRUE))</f>
        <v/>
      </c>
      <c r="G35">
        <f>IF($D$11=0,1,1-_xlfn.BINOM.DIST($D$11-1,$B$11,_xlfn.NORM.S.DIST((_xlfn.NORM.S.INV($C$11)-SQRT($D$3)*$A35)/SQRT(1-$D$3),TRUE),TRUE))</f>
        <v/>
      </c>
      <c r="H35">
        <f>IF($D$12=0,1,1-_xlfn.BINOM.DIST($D$12-1,$B$12,_xlfn.NORM.S.DIST((_xlfn.NORM.S.INV($C$12)-SQRT($D$3)*$A35)/SQRT(1-$D$3),TRUE),TRUE))</f>
        <v/>
      </c>
      <c r="I35">
        <f>IF($D$13=0,1,1-_xlfn.BINOM.DIST($D$13-1,$B$13,_xlfn.NORM.S.DIST((_xlfn.NORM.S.INV($C$13)-SQRT($D$3)*$A35)/SQRT(1-$D$3),TRUE),TRUE))</f>
        <v/>
      </c>
      <c r="J35">
        <f>IF($D$14=0,1,1-_xlfn.BINOM.DIST($D$14-1,$B$14,_xlfn.NORM.S.DIST((_xlfn.NORM.S.INV($C$14)-SQRT($D$3)*$A35)/SQRT(1-$D$3),TRUE),TRUE))</f>
        <v/>
      </c>
    </row>
    <row r="36">
      <c r="A36" t="n">
        <v>-6.4</v>
      </c>
      <c r="B36">
        <f>1.0*0.1*EXP(-(A36^2)/2)/SQRT(2*PI())</f>
        <v/>
      </c>
      <c r="C36">
        <f>IF($D$7=0,1,1-_xlfn.BINOM.DIST($D$7-1,$B$7,_xlfn.NORM.S.DIST((_xlfn.NORM.S.INV($C$7)-SQRT($D$3)*$A36)/SQRT(1-$D$3),TRUE),TRUE))</f>
        <v/>
      </c>
      <c r="D36">
        <f>IF($D$8=0,1,1-_xlfn.BINOM.DIST($D$8-1,$B$8,_xlfn.NORM.S.DIST((_xlfn.NORM.S.INV($C$8)-SQRT($D$3)*$A36)/SQRT(1-$D$3),TRUE),TRUE))</f>
        <v/>
      </c>
      <c r="E36">
        <f>IF($D$9=0,1,1-_xlfn.BINOM.DIST($D$9-1,$B$9,_xlfn.NORM.S.DIST((_xlfn.NORM.S.INV($C$9)-SQRT($D$3)*$A36)/SQRT(1-$D$3),TRUE),TRUE))</f>
        <v/>
      </c>
      <c r="F36">
        <f>IF($D$10=0,1,1-_xlfn.BINOM.DIST($D$10-1,$B$10,_xlfn.NORM.S.DIST((_xlfn.NORM.S.INV($C$10)-SQRT($D$3)*$A36)/SQRT(1-$D$3),TRUE),TRUE))</f>
        <v/>
      </c>
      <c r="G36">
        <f>IF($D$11=0,1,1-_xlfn.BINOM.DIST($D$11-1,$B$11,_xlfn.NORM.S.DIST((_xlfn.NORM.S.INV($C$11)-SQRT($D$3)*$A36)/SQRT(1-$D$3),TRUE),TRUE))</f>
        <v/>
      </c>
      <c r="H36">
        <f>IF($D$12=0,1,1-_xlfn.BINOM.DIST($D$12-1,$B$12,_xlfn.NORM.S.DIST((_xlfn.NORM.S.INV($C$12)-SQRT($D$3)*$A36)/SQRT(1-$D$3),TRUE),TRUE))</f>
        <v/>
      </c>
      <c r="I36">
        <f>IF($D$13=0,1,1-_xlfn.BINOM.DIST($D$13-1,$B$13,_xlfn.NORM.S.DIST((_xlfn.NORM.S.INV($C$13)-SQRT($D$3)*$A36)/SQRT(1-$D$3),TRUE),TRUE))</f>
        <v/>
      </c>
      <c r="J36">
        <f>IF($D$14=0,1,1-_xlfn.BINOM.DIST($D$14-1,$B$14,_xlfn.NORM.S.DIST((_xlfn.NORM.S.INV($C$14)-SQRT($D$3)*$A36)/SQRT(1-$D$3),TRUE),TRUE))</f>
        <v/>
      </c>
    </row>
    <row r="37">
      <c r="A37" t="n">
        <v>-6.3</v>
      </c>
      <c r="B37">
        <f>1.0*0.1*EXP(-(A37^2)/2)/SQRT(2*PI())</f>
        <v/>
      </c>
      <c r="C37">
        <f>IF($D$7=0,1,1-_xlfn.BINOM.DIST($D$7-1,$B$7,_xlfn.NORM.S.DIST((_xlfn.NORM.S.INV($C$7)-SQRT($D$3)*$A37)/SQRT(1-$D$3),TRUE),TRUE))</f>
        <v/>
      </c>
      <c r="D37">
        <f>IF($D$8=0,1,1-_xlfn.BINOM.DIST($D$8-1,$B$8,_xlfn.NORM.S.DIST((_xlfn.NORM.S.INV($C$8)-SQRT($D$3)*$A37)/SQRT(1-$D$3),TRUE),TRUE))</f>
        <v/>
      </c>
      <c r="E37">
        <f>IF($D$9=0,1,1-_xlfn.BINOM.DIST($D$9-1,$B$9,_xlfn.NORM.S.DIST((_xlfn.NORM.S.INV($C$9)-SQRT($D$3)*$A37)/SQRT(1-$D$3),TRUE),TRUE))</f>
        <v/>
      </c>
      <c r="F37">
        <f>IF($D$10=0,1,1-_xlfn.BINOM.DIST($D$10-1,$B$10,_xlfn.NORM.S.DIST((_xlfn.NORM.S.INV($C$10)-SQRT($D$3)*$A37)/SQRT(1-$D$3),TRUE),TRUE))</f>
        <v/>
      </c>
      <c r="G37">
        <f>IF($D$11=0,1,1-_xlfn.BINOM.DIST($D$11-1,$B$11,_xlfn.NORM.S.DIST((_xlfn.NORM.S.INV($C$11)-SQRT($D$3)*$A37)/SQRT(1-$D$3),TRUE),TRUE))</f>
        <v/>
      </c>
      <c r="H37">
        <f>IF($D$12=0,1,1-_xlfn.BINOM.DIST($D$12-1,$B$12,_xlfn.NORM.S.DIST((_xlfn.NORM.S.INV($C$12)-SQRT($D$3)*$A37)/SQRT(1-$D$3),TRUE),TRUE))</f>
        <v/>
      </c>
      <c r="I37">
        <f>IF($D$13=0,1,1-_xlfn.BINOM.DIST($D$13-1,$B$13,_xlfn.NORM.S.DIST((_xlfn.NORM.S.INV($C$13)-SQRT($D$3)*$A37)/SQRT(1-$D$3),TRUE),TRUE))</f>
        <v/>
      </c>
      <c r="J37">
        <f>IF($D$14=0,1,1-_xlfn.BINOM.DIST($D$14-1,$B$14,_xlfn.NORM.S.DIST((_xlfn.NORM.S.INV($C$14)-SQRT($D$3)*$A37)/SQRT(1-$D$3),TRUE),TRUE))</f>
        <v/>
      </c>
    </row>
    <row r="38">
      <c r="A38" t="n">
        <v>-6.2</v>
      </c>
      <c r="B38">
        <f>1.0*0.1*EXP(-(A38^2)/2)/SQRT(2*PI())</f>
        <v/>
      </c>
      <c r="C38">
        <f>IF($D$7=0,1,1-_xlfn.BINOM.DIST($D$7-1,$B$7,_xlfn.NORM.S.DIST((_xlfn.NORM.S.INV($C$7)-SQRT($D$3)*$A38)/SQRT(1-$D$3),TRUE),TRUE))</f>
        <v/>
      </c>
      <c r="D38">
        <f>IF($D$8=0,1,1-_xlfn.BINOM.DIST($D$8-1,$B$8,_xlfn.NORM.S.DIST((_xlfn.NORM.S.INV($C$8)-SQRT($D$3)*$A38)/SQRT(1-$D$3),TRUE),TRUE))</f>
        <v/>
      </c>
      <c r="E38">
        <f>IF($D$9=0,1,1-_xlfn.BINOM.DIST($D$9-1,$B$9,_xlfn.NORM.S.DIST((_xlfn.NORM.S.INV($C$9)-SQRT($D$3)*$A38)/SQRT(1-$D$3),TRUE),TRUE))</f>
        <v/>
      </c>
      <c r="F38">
        <f>IF($D$10=0,1,1-_xlfn.BINOM.DIST($D$10-1,$B$10,_xlfn.NORM.S.DIST((_xlfn.NORM.S.INV($C$10)-SQRT($D$3)*$A38)/SQRT(1-$D$3),TRUE),TRUE))</f>
        <v/>
      </c>
      <c r="G38">
        <f>IF($D$11=0,1,1-_xlfn.BINOM.DIST($D$11-1,$B$11,_xlfn.NORM.S.DIST((_xlfn.NORM.S.INV($C$11)-SQRT($D$3)*$A38)/SQRT(1-$D$3),TRUE),TRUE))</f>
        <v/>
      </c>
      <c r="H38">
        <f>IF($D$12=0,1,1-_xlfn.BINOM.DIST($D$12-1,$B$12,_xlfn.NORM.S.DIST((_xlfn.NORM.S.INV($C$12)-SQRT($D$3)*$A38)/SQRT(1-$D$3),TRUE),TRUE))</f>
        <v/>
      </c>
      <c r="I38">
        <f>IF($D$13=0,1,1-_xlfn.BINOM.DIST($D$13-1,$B$13,_xlfn.NORM.S.DIST((_xlfn.NORM.S.INV($C$13)-SQRT($D$3)*$A38)/SQRT(1-$D$3),TRUE),TRUE))</f>
        <v/>
      </c>
      <c r="J38">
        <f>IF($D$14=0,1,1-_xlfn.BINOM.DIST($D$14-1,$B$14,_xlfn.NORM.S.DIST((_xlfn.NORM.S.INV($C$14)-SQRT($D$3)*$A38)/SQRT(1-$D$3),TRUE),TRUE))</f>
        <v/>
      </c>
    </row>
    <row r="39">
      <c r="A39" t="n">
        <v>-6.1</v>
      </c>
      <c r="B39">
        <f>1.0*0.1*EXP(-(A39^2)/2)/SQRT(2*PI())</f>
        <v/>
      </c>
      <c r="C39">
        <f>IF($D$7=0,1,1-_xlfn.BINOM.DIST($D$7-1,$B$7,_xlfn.NORM.S.DIST((_xlfn.NORM.S.INV($C$7)-SQRT($D$3)*$A39)/SQRT(1-$D$3),TRUE),TRUE))</f>
        <v/>
      </c>
      <c r="D39">
        <f>IF($D$8=0,1,1-_xlfn.BINOM.DIST($D$8-1,$B$8,_xlfn.NORM.S.DIST((_xlfn.NORM.S.INV($C$8)-SQRT($D$3)*$A39)/SQRT(1-$D$3),TRUE),TRUE))</f>
        <v/>
      </c>
      <c r="E39">
        <f>IF($D$9=0,1,1-_xlfn.BINOM.DIST($D$9-1,$B$9,_xlfn.NORM.S.DIST((_xlfn.NORM.S.INV($C$9)-SQRT($D$3)*$A39)/SQRT(1-$D$3),TRUE),TRUE))</f>
        <v/>
      </c>
      <c r="F39">
        <f>IF($D$10=0,1,1-_xlfn.BINOM.DIST($D$10-1,$B$10,_xlfn.NORM.S.DIST((_xlfn.NORM.S.INV($C$10)-SQRT($D$3)*$A39)/SQRT(1-$D$3),TRUE),TRUE))</f>
        <v/>
      </c>
      <c r="G39">
        <f>IF($D$11=0,1,1-_xlfn.BINOM.DIST($D$11-1,$B$11,_xlfn.NORM.S.DIST((_xlfn.NORM.S.INV($C$11)-SQRT($D$3)*$A39)/SQRT(1-$D$3),TRUE),TRUE))</f>
        <v/>
      </c>
      <c r="H39">
        <f>IF($D$12=0,1,1-_xlfn.BINOM.DIST($D$12-1,$B$12,_xlfn.NORM.S.DIST((_xlfn.NORM.S.INV($C$12)-SQRT($D$3)*$A39)/SQRT(1-$D$3),TRUE),TRUE))</f>
        <v/>
      </c>
      <c r="I39">
        <f>IF($D$13=0,1,1-_xlfn.BINOM.DIST($D$13-1,$B$13,_xlfn.NORM.S.DIST((_xlfn.NORM.S.INV($C$13)-SQRT($D$3)*$A39)/SQRT(1-$D$3),TRUE),TRUE))</f>
        <v/>
      </c>
      <c r="J39">
        <f>IF($D$14=0,1,1-_xlfn.BINOM.DIST($D$14-1,$B$14,_xlfn.NORM.S.DIST((_xlfn.NORM.S.INV($C$14)-SQRT($D$3)*$A39)/SQRT(1-$D$3),TRUE),TRUE))</f>
        <v/>
      </c>
    </row>
    <row r="40">
      <c r="A40" t="n">
        <v>-6</v>
      </c>
      <c r="B40">
        <f>1.0*0.1*EXP(-(A40^2)/2)/SQRT(2*PI())</f>
        <v/>
      </c>
      <c r="C40">
        <f>IF($D$7=0,1,1-_xlfn.BINOM.DIST($D$7-1,$B$7,_xlfn.NORM.S.DIST((_xlfn.NORM.S.INV($C$7)-SQRT($D$3)*$A40)/SQRT(1-$D$3),TRUE),TRUE))</f>
        <v/>
      </c>
      <c r="D40">
        <f>IF($D$8=0,1,1-_xlfn.BINOM.DIST($D$8-1,$B$8,_xlfn.NORM.S.DIST((_xlfn.NORM.S.INV($C$8)-SQRT($D$3)*$A40)/SQRT(1-$D$3),TRUE),TRUE))</f>
        <v/>
      </c>
      <c r="E40">
        <f>IF($D$9=0,1,1-_xlfn.BINOM.DIST($D$9-1,$B$9,_xlfn.NORM.S.DIST((_xlfn.NORM.S.INV($C$9)-SQRT($D$3)*$A40)/SQRT(1-$D$3),TRUE),TRUE))</f>
        <v/>
      </c>
      <c r="F40">
        <f>IF($D$10=0,1,1-_xlfn.BINOM.DIST($D$10-1,$B$10,_xlfn.NORM.S.DIST((_xlfn.NORM.S.INV($C$10)-SQRT($D$3)*$A40)/SQRT(1-$D$3),TRUE),TRUE))</f>
        <v/>
      </c>
      <c r="G40">
        <f>IF($D$11=0,1,1-_xlfn.BINOM.DIST($D$11-1,$B$11,_xlfn.NORM.S.DIST((_xlfn.NORM.S.INV($C$11)-SQRT($D$3)*$A40)/SQRT(1-$D$3),TRUE),TRUE))</f>
        <v/>
      </c>
      <c r="H40">
        <f>IF($D$12=0,1,1-_xlfn.BINOM.DIST($D$12-1,$B$12,_xlfn.NORM.S.DIST((_xlfn.NORM.S.INV($C$12)-SQRT($D$3)*$A40)/SQRT(1-$D$3),TRUE),TRUE))</f>
        <v/>
      </c>
      <c r="I40">
        <f>IF($D$13=0,1,1-_xlfn.BINOM.DIST($D$13-1,$B$13,_xlfn.NORM.S.DIST((_xlfn.NORM.S.INV($C$13)-SQRT($D$3)*$A40)/SQRT(1-$D$3),TRUE),TRUE))</f>
        <v/>
      </c>
      <c r="J40">
        <f>IF($D$14=0,1,1-_xlfn.BINOM.DIST($D$14-1,$B$14,_xlfn.NORM.S.DIST((_xlfn.NORM.S.INV($C$14)-SQRT($D$3)*$A40)/SQRT(1-$D$3),TRUE),TRUE))</f>
        <v/>
      </c>
    </row>
    <row r="41">
      <c r="A41" t="n">
        <v>-5.9</v>
      </c>
      <c r="B41">
        <f>1.0*0.1*EXP(-(A41^2)/2)/SQRT(2*PI())</f>
        <v/>
      </c>
      <c r="C41">
        <f>IF($D$7=0,1,1-_xlfn.BINOM.DIST($D$7-1,$B$7,_xlfn.NORM.S.DIST((_xlfn.NORM.S.INV($C$7)-SQRT($D$3)*$A41)/SQRT(1-$D$3),TRUE),TRUE))</f>
        <v/>
      </c>
      <c r="D41">
        <f>IF($D$8=0,1,1-_xlfn.BINOM.DIST($D$8-1,$B$8,_xlfn.NORM.S.DIST((_xlfn.NORM.S.INV($C$8)-SQRT($D$3)*$A41)/SQRT(1-$D$3),TRUE),TRUE))</f>
        <v/>
      </c>
      <c r="E41">
        <f>IF($D$9=0,1,1-_xlfn.BINOM.DIST($D$9-1,$B$9,_xlfn.NORM.S.DIST((_xlfn.NORM.S.INV($C$9)-SQRT($D$3)*$A41)/SQRT(1-$D$3),TRUE),TRUE))</f>
        <v/>
      </c>
      <c r="F41">
        <f>IF($D$10=0,1,1-_xlfn.BINOM.DIST($D$10-1,$B$10,_xlfn.NORM.S.DIST((_xlfn.NORM.S.INV($C$10)-SQRT($D$3)*$A41)/SQRT(1-$D$3),TRUE),TRUE))</f>
        <v/>
      </c>
      <c r="G41">
        <f>IF($D$11=0,1,1-_xlfn.BINOM.DIST($D$11-1,$B$11,_xlfn.NORM.S.DIST((_xlfn.NORM.S.INV($C$11)-SQRT($D$3)*$A41)/SQRT(1-$D$3),TRUE),TRUE))</f>
        <v/>
      </c>
      <c r="H41">
        <f>IF($D$12=0,1,1-_xlfn.BINOM.DIST($D$12-1,$B$12,_xlfn.NORM.S.DIST((_xlfn.NORM.S.INV($C$12)-SQRT($D$3)*$A41)/SQRT(1-$D$3),TRUE),TRUE))</f>
        <v/>
      </c>
      <c r="I41">
        <f>IF($D$13=0,1,1-_xlfn.BINOM.DIST($D$13-1,$B$13,_xlfn.NORM.S.DIST((_xlfn.NORM.S.INV($C$13)-SQRT($D$3)*$A41)/SQRT(1-$D$3),TRUE),TRUE))</f>
        <v/>
      </c>
      <c r="J41">
        <f>IF($D$14=0,1,1-_xlfn.BINOM.DIST($D$14-1,$B$14,_xlfn.NORM.S.DIST((_xlfn.NORM.S.INV($C$14)-SQRT($D$3)*$A41)/SQRT(1-$D$3),TRUE),TRUE))</f>
        <v/>
      </c>
    </row>
    <row r="42">
      <c r="A42" t="n">
        <v>-5.8</v>
      </c>
      <c r="B42">
        <f>1.0*0.1*EXP(-(A42^2)/2)/SQRT(2*PI())</f>
        <v/>
      </c>
      <c r="C42">
        <f>IF($D$7=0,1,1-_xlfn.BINOM.DIST($D$7-1,$B$7,_xlfn.NORM.S.DIST((_xlfn.NORM.S.INV($C$7)-SQRT($D$3)*$A42)/SQRT(1-$D$3),TRUE),TRUE))</f>
        <v/>
      </c>
      <c r="D42">
        <f>IF($D$8=0,1,1-_xlfn.BINOM.DIST($D$8-1,$B$8,_xlfn.NORM.S.DIST((_xlfn.NORM.S.INV($C$8)-SQRT($D$3)*$A42)/SQRT(1-$D$3),TRUE),TRUE))</f>
        <v/>
      </c>
      <c r="E42">
        <f>IF($D$9=0,1,1-_xlfn.BINOM.DIST($D$9-1,$B$9,_xlfn.NORM.S.DIST((_xlfn.NORM.S.INV($C$9)-SQRT($D$3)*$A42)/SQRT(1-$D$3),TRUE),TRUE))</f>
        <v/>
      </c>
      <c r="F42">
        <f>IF($D$10=0,1,1-_xlfn.BINOM.DIST($D$10-1,$B$10,_xlfn.NORM.S.DIST((_xlfn.NORM.S.INV($C$10)-SQRT($D$3)*$A42)/SQRT(1-$D$3),TRUE),TRUE))</f>
        <v/>
      </c>
      <c r="G42">
        <f>IF($D$11=0,1,1-_xlfn.BINOM.DIST($D$11-1,$B$11,_xlfn.NORM.S.DIST((_xlfn.NORM.S.INV($C$11)-SQRT($D$3)*$A42)/SQRT(1-$D$3),TRUE),TRUE))</f>
        <v/>
      </c>
      <c r="H42">
        <f>IF($D$12=0,1,1-_xlfn.BINOM.DIST($D$12-1,$B$12,_xlfn.NORM.S.DIST((_xlfn.NORM.S.INV($C$12)-SQRT($D$3)*$A42)/SQRT(1-$D$3),TRUE),TRUE))</f>
        <v/>
      </c>
      <c r="I42">
        <f>IF($D$13=0,1,1-_xlfn.BINOM.DIST($D$13-1,$B$13,_xlfn.NORM.S.DIST((_xlfn.NORM.S.INV($C$13)-SQRT($D$3)*$A42)/SQRT(1-$D$3),TRUE),TRUE))</f>
        <v/>
      </c>
      <c r="J42">
        <f>IF($D$14=0,1,1-_xlfn.BINOM.DIST($D$14-1,$B$14,_xlfn.NORM.S.DIST((_xlfn.NORM.S.INV($C$14)-SQRT($D$3)*$A42)/SQRT(1-$D$3),TRUE),TRUE))</f>
        <v/>
      </c>
    </row>
    <row r="43">
      <c r="A43" t="n">
        <v>-5.7</v>
      </c>
      <c r="B43">
        <f>1.0*0.1*EXP(-(A43^2)/2)/SQRT(2*PI())</f>
        <v/>
      </c>
      <c r="C43">
        <f>IF($D$7=0,1,1-_xlfn.BINOM.DIST($D$7-1,$B$7,_xlfn.NORM.S.DIST((_xlfn.NORM.S.INV($C$7)-SQRT($D$3)*$A43)/SQRT(1-$D$3),TRUE),TRUE))</f>
        <v/>
      </c>
      <c r="D43">
        <f>IF($D$8=0,1,1-_xlfn.BINOM.DIST($D$8-1,$B$8,_xlfn.NORM.S.DIST((_xlfn.NORM.S.INV($C$8)-SQRT($D$3)*$A43)/SQRT(1-$D$3),TRUE),TRUE))</f>
        <v/>
      </c>
      <c r="E43">
        <f>IF($D$9=0,1,1-_xlfn.BINOM.DIST($D$9-1,$B$9,_xlfn.NORM.S.DIST((_xlfn.NORM.S.INV($C$9)-SQRT($D$3)*$A43)/SQRT(1-$D$3),TRUE),TRUE))</f>
        <v/>
      </c>
      <c r="F43">
        <f>IF($D$10=0,1,1-_xlfn.BINOM.DIST($D$10-1,$B$10,_xlfn.NORM.S.DIST((_xlfn.NORM.S.INV($C$10)-SQRT($D$3)*$A43)/SQRT(1-$D$3),TRUE),TRUE))</f>
        <v/>
      </c>
      <c r="G43">
        <f>IF($D$11=0,1,1-_xlfn.BINOM.DIST($D$11-1,$B$11,_xlfn.NORM.S.DIST((_xlfn.NORM.S.INV($C$11)-SQRT($D$3)*$A43)/SQRT(1-$D$3),TRUE),TRUE))</f>
        <v/>
      </c>
      <c r="H43">
        <f>IF($D$12=0,1,1-_xlfn.BINOM.DIST($D$12-1,$B$12,_xlfn.NORM.S.DIST((_xlfn.NORM.S.INV($C$12)-SQRT($D$3)*$A43)/SQRT(1-$D$3),TRUE),TRUE))</f>
        <v/>
      </c>
      <c r="I43">
        <f>IF($D$13=0,1,1-_xlfn.BINOM.DIST($D$13-1,$B$13,_xlfn.NORM.S.DIST((_xlfn.NORM.S.INV($C$13)-SQRT($D$3)*$A43)/SQRT(1-$D$3),TRUE),TRUE))</f>
        <v/>
      </c>
      <c r="J43">
        <f>IF($D$14=0,1,1-_xlfn.BINOM.DIST($D$14-1,$B$14,_xlfn.NORM.S.DIST((_xlfn.NORM.S.INV($C$14)-SQRT($D$3)*$A43)/SQRT(1-$D$3),TRUE),TRUE))</f>
        <v/>
      </c>
    </row>
    <row r="44">
      <c r="A44" t="n">
        <v>-5.6</v>
      </c>
      <c r="B44">
        <f>1.0*0.1*EXP(-(A44^2)/2)/SQRT(2*PI())</f>
        <v/>
      </c>
      <c r="C44">
        <f>IF($D$7=0,1,1-_xlfn.BINOM.DIST($D$7-1,$B$7,_xlfn.NORM.S.DIST((_xlfn.NORM.S.INV($C$7)-SQRT($D$3)*$A44)/SQRT(1-$D$3),TRUE),TRUE))</f>
        <v/>
      </c>
      <c r="D44">
        <f>IF($D$8=0,1,1-_xlfn.BINOM.DIST($D$8-1,$B$8,_xlfn.NORM.S.DIST((_xlfn.NORM.S.INV($C$8)-SQRT($D$3)*$A44)/SQRT(1-$D$3),TRUE),TRUE))</f>
        <v/>
      </c>
      <c r="E44">
        <f>IF($D$9=0,1,1-_xlfn.BINOM.DIST($D$9-1,$B$9,_xlfn.NORM.S.DIST((_xlfn.NORM.S.INV($C$9)-SQRT($D$3)*$A44)/SQRT(1-$D$3),TRUE),TRUE))</f>
        <v/>
      </c>
      <c r="F44">
        <f>IF($D$10=0,1,1-_xlfn.BINOM.DIST($D$10-1,$B$10,_xlfn.NORM.S.DIST((_xlfn.NORM.S.INV($C$10)-SQRT($D$3)*$A44)/SQRT(1-$D$3),TRUE),TRUE))</f>
        <v/>
      </c>
      <c r="G44">
        <f>IF($D$11=0,1,1-_xlfn.BINOM.DIST($D$11-1,$B$11,_xlfn.NORM.S.DIST((_xlfn.NORM.S.INV($C$11)-SQRT($D$3)*$A44)/SQRT(1-$D$3),TRUE),TRUE))</f>
        <v/>
      </c>
      <c r="H44">
        <f>IF($D$12=0,1,1-_xlfn.BINOM.DIST($D$12-1,$B$12,_xlfn.NORM.S.DIST((_xlfn.NORM.S.INV($C$12)-SQRT($D$3)*$A44)/SQRT(1-$D$3),TRUE),TRUE))</f>
        <v/>
      </c>
      <c r="I44">
        <f>IF($D$13=0,1,1-_xlfn.BINOM.DIST($D$13-1,$B$13,_xlfn.NORM.S.DIST((_xlfn.NORM.S.INV($C$13)-SQRT($D$3)*$A44)/SQRT(1-$D$3),TRUE),TRUE))</f>
        <v/>
      </c>
      <c r="J44">
        <f>IF($D$14=0,1,1-_xlfn.BINOM.DIST($D$14-1,$B$14,_xlfn.NORM.S.DIST((_xlfn.NORM.S.INV($C$14)-SQRT($D$3)*$A44)/SQRT(1-$D$3),TRUE),TRUE))</f>
        <v/>
      </c>
    </row>
    <row r="45">
      <c r="A45" t="n">
        <v>-5.5</v>
      </c>
      <c r="B45">
        <f>1.0*0.1*EXP(-(A45^2)/2)/SQRT(2*PI())</f>
        <v/>
      </c>
      <c r="C45">
        <f>IF($D$7=0,1,1-_xlfn.BINOM.DIST($D$7-1,$B$7,_xlfn.NORM.S.DIST((_xlfn.NORM.S.INV($C$7)-SQRT($D$3)*$A45)/SQRT(1-$D$3),TRUE),TRUE))</f>
        <v/>
      </c>
      <c r="D45">
        <f>IF($D$8=0,1,1-_xlfn.BINOM.DIST($D$8-1,$B$8,_xlfn.NORM.S.DIST((_xlfn.NORM.S.INV($C$8)-SQRT($D$3)*$A45)/SQRT(1-$D$3),TRUE),TRUE))</f>
        <v/>
      </c>
      <c r="E45">
        <f>IF($D$9=0,1,1-_xlfn.BINOM.DIST($D$9-1,$B$9,_xlfn.NORM.S.DIST((_xlfn.NORM.S.INV($C$9)-SQRT($D$3)*$A45)/SQRT(1-$D$3),TRUE),TRUE))</f>
        <v/>
      </c>
      <c r="F45">
        <f>IF($D$10=0,1,1-_xlfn.BINOM.DIST($D$10-1,$B$10,_xlfn.NORM.S.DIST((_xlfn.NORM.S.INV($C$10)-SQRT($D$3)*$A45)/SQRT(1-$D$3),TRUE),TRUE))</f>
        <v/>
      </c>
      <c r="G45">
        <f>IF($D$11=0,1,1-_xlfn.BINOM.DIST($D$11-1,$B$11,_xlfn.NORM.S.DIST((_xlfn.NORM.S.INV($C$11)-SQRT($D$3)*$A45)/SQRT(1-$D$3),TRUE),TRUE))</f>
        <v/>
      </c>
      <c r="H45">
        <f>IF($D$12=0,1,1-_xlfn.BINOM.DIST($D$12-1,$B$12,_xlfn.NORM.S.DIST((_xlfn.NORM.S.INV($C$12)-SQRT($D$3)*$A45)/SQRT(1-$D$3),TRUE),TRUE))</f>
        <v/>
      </c>
      <c r="I45">
        <f>IF($D$13=0,1,1-_xlfn.BINOM.DIST($D$13-1,$B$13,_xlfn.NORM.S.DIST((_xlfn.NORM.S.INV($C$13)-SQRT($D$3)*$A45)/SQRT(1-$D$3),TRUE),TRUE))</f>
        <v/>
      </c>
      <c r="J45">
        <f>IF($D$14=0,1,1-_xlfn.BINOM.DIST($D$14-1,$B$14,_xlfn.NORM.S.DIST((_xlfn.NORM.S.INV($C$14)-SQRT($D$3)*$A45)/SQRT(1-$D$3),TRUE),TRUE))</f>
        <v/>
      </c>
    </row>
    <row r="46">
      <c r="A46" t="n">
        <v>-5.4</v>
      </c>
      <c r="B46">
        <f>1.0*0.1*EXP(-(A46^2)/2)/SQRT(2*PI())</f>
        <v/>
      </c>
      <c r="C46">
        <f>IF($D$7=0,1,1-_xlfn.BINOM.DIST($D$7-1,$B$7,_xlfn.NORM.S.DIST((_xlfn.NORM.S.INV($C$7)-SQRT($D$3)*$A46)/SQRT(1-$D$3),TRUE),TRUE))</f>
        <v/>
      </c>
      <c r="D46">
        <f>IF($D$8=0,1,1-_xlfn.BINOM.DIST($D$8-1,$B$8,_xlfn.NORM.S.DIST((_xlfn.NORM.S.INV($C$8)-SQRT($D$3)*$A46)/SQRT(1-$D$3),TRUE),TRUE))</f>
        <v/>
      </c>
      <c r="E46">
        <f>IF($D$9=0,1,1-_xlfn.BINOM.DIST($D$9-1,$B$9,_xlfn.NORM.S.DIST((_xlfn.NORM.S.INV($C$9)-SQRT($D$3)*$A46)/SQRT(1-$D$3),TRUE),TRUE))</f>
        <v/>
      </c>
      <c r="F46">
        <f>IF($D$10=0,1,1-_xlfn.BINOM.DIST($D$10-1,$B$10,_xlfn.NORM.S.DIST((_xlfn.NORM.S.INV($C$10)-SQRT($D$3)*$A46)/SQRT(1-$D$3),TRUE),TRUE))</f>
        <v/>
      </c>
      <c r="G46">
        <f>IF($D$11=0,1,1-_xlfn.BINOM.DIST($D$11-1,$B$11,_xlfn.NORM.S.DIST((_xlfn.NORM.S.INV($C$11)-SQRT($D$3)*$A46)/SQRT(1-$D$3),TRUE),TRUE))</f>
        <v/>
      </c>
      <c r="H46">
        <f>IF($D$12=0,1,1-_xlfn.BINOM.DIST($D$12-1,$B$12,_xlfn.NORM.S.DIST((_xlfn.NORM.S.INV($C$12)-SQRT($D$3)*$A46)/SQRT(1-$D$3),TRUE),TRUE))</f>
        <v/>
      </c>
      <c r="I46">
        <f>IF($D$13=0,1,1-_xlfn.BINOM.DIST($D$13-1,$B$13,_xlfn.NORM.S.DIST((_xlfn.NORM.S.INV($C$13)-SQRT($D$3)*$A46)/SQRT(1-$D$3),TRUE),TRUE))</f>
        <v/>
      </c>
      <c r="J46">
        <f>IF($D$14=0,1,1-_xlfn.BINOM.DIST($D$14-1,$B$14,_xlfn.NORM.S.DIST((_xlfn.NORM.S.INV($C$14)-SQRT($D$3)*$A46)/SQRT(1-$D$3),TRUE),TRUE))</f>
        <v/>
      </c>
    </row>
    <row r="47">
      <c r="A47" t="n">
        <v>-5.3</v>
      </c>
      <c r="B47">
        <f>1.0*0.1*EXP(-(A47^2)/2)/SQRT(2*PI())</f>
        <v/>
      </c>
      <c r="C47">
        <f>IF($D$7=0,1,1-_xlfn.BINOM.DIST($D$7-1,$B$7,_xlfn.NORM.S.DIST((_xlfn.NORM.S.INV($C$7)-SQRT($D$3)*$A47)/SQRT(1-$D$3),TRUE),TRUE))</f>
        <v/>
      </c>
      <c r="D47">
        <f>IF($D$8=0,1,1-_xlfn.BINOM.DIST($D$8-1,$B$8,_xlfn.NORM.S.DIST((_xlfn.NORM.S.INV($C$8)-SQRT($D$3)*$A47)/SQRT(1-$D$3),TRUE),TRUE))</f>
        <v/>
      </c>
      <c r="E47">
        <f>IF($D$9=0,1,1-_xlfn.BINOM.DIST($D$9-1,$B$9,_xlfn.NORM.S.DIST((_xlfn.NORM.S.INV($C$9)-SQRT($D$3)*$A47)/SQRT(1-$D$3),TRUE),TRUE))</f>
        <v/>
      </c>
      <c r="F47">
        <f>IF($D$10=0,1,1-_xlfn.BINOM.DIST($D$10-1,$B$10,_xlfn.NORM.S.DIST((_xlfn.NORM.S.INV($C$10)-SQRT($D$3)*$A47)/SQRT(1-$D$3),TRUE),TRUE))</f>
        <v/>
      </c>
      <c r="G47">
        <f>IF($D$11=0,1,1-_xlfn.BINOM.DIST($D$11-1,$B$11,_xlfn.NORM.S.DIST((_xlfn.NORM.S.INV($C$11)-SQRT($D$3)*$A47)/SQRT(1-$D$3),TRUE),TRUE))</f>
        <v/>
      </c>
      <c r="H47">
        <f>IF($D$12=0,1,1-_xlfn.BINOM.DIST($D$12-1,$B$12,_xlfn.NORM.S.DIST((_xlfn.NORM.S.INV($C$12)-SQRT($D$3)*$A47)/SQRT(1-$D$3),TRUE),TRUE))</f>
        <v/>
      </c>
      <c r="I47">
        <f>IF($D$13=0,1,1-_xlfn.BINOM.DIST($D$13-1,$B$13,_xlfn.NORM.S.DIST((_xlfn.NORM.S.INV($C$13)-SQRT($D$3)*$A47)/SQRT(1-$D$3),TRUE),TRUE))</f>
        <v/>
      </c>
      <c r="J47">
        <f>IF($D$14=0,1,1-_xlfn.BINOM.DIST($D$14-1,$B$14,_xlfn.NORM.S.DIST((_xlfn.NORM.S.INV($C$14)-SQRT($D$3)*$A47)/SQRT(1-$D$3),TRUE),TRUE))</f>
        <v/>
      </c>
    </row>
    <row r="48">
      <c r="A48" t="n">
        <v>-5.2</v>
      </c>
      <c r="B48">
        <f>1.0*0.1*EXP(-(A48^2)/2)/SQRT(2*PI())</f>
        <v/>
      </c>
      <c r="C48">
        <f>IF($D$7=0,1,1-_xlfn.BINOM.DIST($D$7-1,$B$7,_xlfn.NORM.S.DIST((_xlfn.NORM.S.INV($C$7)-SQRT($D$3)*$A48)/SQRT(1-$D$3),TRUE),TRUE))</f>
        <v/>
      </c>
      <c r="D48">
        <f>IF($D$8=0,1,1-_xlfn.BINOM.DIST($D$8-1,$B$8,_xlfn.NORM.S.DIST((_xlfn.NORM.S.INV($C$8)-SQRT($D$3)*$A48)/SQRT(1-$D$3),TRUE),TRUE))</f>
        <v/>
      </c>
      <c r="E48">
        <f>IF($D$9=0,1,1-_xlfn.BINOM.DIST($D$9-1,$B$9,_xlfn.NORM.S.DIST((_xlfn.NORM.S.INV($C$9)-SQRT($D$3)*$A48)/SQRT(1-$D$3),TRUE),TRUE))</f>
        <v/>
      </c>
      <c r="F48">
        <f>IF($D$10=0,1,1-_xlfn.BINOM.DIST($D$10-1,$B$10,_xlfn.NORM.S.DIST((_xlfn.NORM.S.INV($C$10)-SQRT($D$3)*$A48)/SQRT(1-$D$3),TRUE),TRUE))</f>
        <v/>
      </c>
      <c r="G48">
        <f>IF($D$11=0,1,1-_xlfn.BINOM.DIST($D$11-1,$B$11,_xlfn.NORM.S.DIST((_xlfn.NORM.S.INV($C$11)-SQRT($D$3)*$A48)/SQRT(1-$D$3),TRUE),TRUE))</f>
        <v/>
      </c>
      <c r="H48">
        <f>IF($D$12=0,1,1-_xlfn.BINOM.DIST($D$12-1,$B$12,_xlfn.NORM.S.DIST((_xlfn.NORM.S.INV($C$12)-SQRT($D$3)*$A48)/SQRT(1-$D$3),TRUE),TRUE))</f>
        <v/>
      </c>
      <c r="I48">
        <f>IF($D$13=0,1,1-_xlfn.BINOM.DIST($D$13-1,$B$13,_xlfn.NORM.S.DIST((_xlfn.NORM.S.INV($C$13)-SQRT($D$3)*$A48)/SQRT(1-$D$3),TRUE),TRUE))</f>
        <v/>
      </c>
      <c r="J48">
        <f>IF($D$14=0,1,1-_xlfn.BINOM.DIST($D$14-1,$B$14,_xlfn.NORM.S.DIST((_xlfn.NORM.S.INV($C$14)-SQRT($D$3)*$A48)/SQRT(1-$D$3),TRUE),TRUE))</f>
        <v/>
      </c>
    </row>
    <row r="49">
      <c r="A49" t="n">
        <v>-5.1</v>
      </c>
      <c r="B49">
        <f>1.0*0.1*EXP(-(A49^2)/2)/SQRT(2*PI())</f>
        <v/>
      </c>
      <c r="C49">
        <f>IF($D$7=0,1,1-_xlfn.BINOM.DIST($D$7-1,$B$7,_xlfn.NORM.S.DIST((_xlfn.NORM.S.INV($C$7)-SQRT($D$3)*$A49)/SQRT(1-$D$3),TRUE),TRUE))</f>
        <v/>
      </c>
      <c r="D49">
        <f>IF($D$8=0,1,1-_xlfn.BINOM.DIST($D$8-1,$B$8,_xlfn.NORM.S.DIST((_xlfn.NORM.S.INV($C$8)-SQRT($D$3)*$A49)/SQRT(1-$D$3),TRUE),TRUE))</f>
        <v/>
      </c>
      <c r="E49">
        <f>IF($D$9=0,1,1-_xlfn.BINOM.DIST($D$9-1,$B$9,_xlfn.NORM.S.DIST((_xlfn.NORM.S.INV($C$9)-SQRT($D$3)*$A49)/SQRT(1-$D$3),TRUE),TRUE))</f>
        <v/>
      </c>
      <c r="F49">
        <f>IF($D$10=0,1,1-_xlfn.BINOM.DIST($D$10-1,$B$10,_xlfn.NORM.S.DIST((_xlfn.NORM.S.INV($C$10)-SQRT($D$3)*$A49)/SQRT(1-$D$3),TRUE),TRUE))</f>
        <v/>
      </c>
      <c r="G49">
        <f>IF($D$11=0,1,1-_xlfn.BINOM.DIST($D$11-1,$B$11,_xlfn.NORM.S.DIST((_xlfn.NORM.S.INV($C$11)-SQRT($D$3)*$A49)/SQRT(1-$D$3),TRUE),TRUE))</f>
        <v/>
      </c>
      <c r="H49">
        <f>IF($D$12=0,1,1-_xlfn.BINOM.DIST($D$12-1,$B$12,_xlfn.NORM.S.DIST((_xlfn.NORM.S.INV($C$12)-SQRT($D$3)*$A49)/SQRT(1-$D$3),TRUE),TRUE))</f>
        <v/>
      </c>
      <c r="I49">
        <f>IF($D$13=0,1,1-_xlfn.BINOM.DIST($D$13-1,$B$13,_xlfn.NORM.S.DIST((_xlfn.NORM.S.INV($C$13)-SQRT($D$3)*$A49)/SQRT(1-$D$3),TRUE),TRUE))</f>
        <v/>
      </c>
      <c r="J49">
        <f>IF($D$14=0,1,1-_xlfn.BINOM.DIST($D$14-1,$B$14,_xlfn.NORM.S.DIST((_xlfn.NORM.S.INV($C$14)-SQRT($D$3)*$A49)/SQRT(1-$D$3),TRUE),TRUE))</f>
        <v/>
      </c>
    </row>
    <row r="50">
      <c r="A50" t="n">
        <v>-5</v>
      </c>
      <c r="B50">
        <f>1.0*0.1*EXP(-(A50^2)/2)/SQRT(2*PI())</f>
        <v/>
      </c>
      <c r="C50">
        <f>IF($D$7=0,1,1-_xlfn.BINOM.DIST($D$7-1,$B$7,_xlfn.NORM.S.DIST((_xlfn.NORM.S.INV($C$7)-SQRT($D$3)*$A50)/SQRT(1-$D$3),TRUE),TRUE))</f>
        <v/>
      </c>
      <c r="D50">
        <f>IF($D$8=0,1,1-_xlfn.BINOM.DIST($D$8-1,$B$8,_xlfn.NORM.S.DIST((_xlfn.NORM.S.INV($C$8)-SQRT($D$3)*$A50)/SQRT(1-$D$3),TRUE),TRUE))</f>
        <v/>
      </c>
      <c r="E50">
        <f>IF($D$9=0,1,1-_xlfn.BINOM.DIST($D$9-1,$B$9,_xlfn.NORM.S.DIST((_xlfn.NORM.S.INV($C$9)-SQRT($D$3)*$A50)/SQRT(1-$D$3),TRUE),TRUE))</f>
        <v/>
      </c>
      <c r="F50">
        <f>IF($D$10=0,1,1-_xlfn.BINOM.DIST($D$10-1,$B$10,_xlfn.NORM.S.DIST((_xlfn.NORM.S.INV($C$10)-SQRT($D$3)*$A50)/SQRT(1-$D$3),TRUE),TRUE))</f>
        <v/>
      </c>
      <c r="G50">
        <f>IF($D$11=0,1,1-_xlfn.BINOM.DIST($D$11-1,$B$11,_xlfn.NORM.S.DIST((_xlfn.NORM.S.INV($C$11)-SQRT($D$3)*$A50)/SQRT(1-$D$3),TRUE),TRUE))</f>
        <v/>
      </c>
      <c r="H50">
        <f>IF($D$12=0,1,1-_xlfn.BINOM.DIST($D$12-1,$B$12,_xlfn.NORM.S.DIST((_xlfn.NORM.S.INV($C$12)-SQRT($D$3)*$A50)/SQRT(1-$D$3),TRUE),TRUE))</f>
        <v/>
      </c>
      <c r="I50">
        <f>IF($D$13=0,1,1-_xlfn.BINOM.DIST($D$13-1,$B$13,_xlfn.NORM.S.DIST((_xlfn.NORM.S.INV($C$13)-SQRT($D$3)*$A50)/SQRT(1-$D$3),TRUE),TRUE))</f>
        <v/>
      </c>
      <c r="J50">
        <f>IF($D$14=0,1,1-_xlfn.BINOM.DIST($D$14-1,$B$14,_xlfn.NORM.S.DIST((_xlfn.NORM.S.INV($C$14)-SQRT($D$3)*$A50)/SQRT(1-$D$3),TRUE),TRUE))</f>
        <v/>
      </c>
    </row>
    <row r="51">
      <c r="A51" t="n">
        <v>-4.9</v>
      </c>
      <c r="B51">
        <f>1.0*0.1*EXP(-(A51^2)/2)/SQRT(2*PI())</f>
        <v/>
      </c>
      <c r="C51">
        <f>IF($D$7=0,1,1-_xlfn.BINOM.DIST($D$7-1,$B$7,_xlfn.NORM.S.DIST((_xlfn.NORM.S.INV($C$7)-SQRT($D$3)*$A51)/SQRT(1-$D$3),TRUE),TRUE))</f>
        <v/>
      </c>
      <c r="D51">
        <f>IF($D$8=0,1,1-_xlfn.BINOM.DIST($D$8-1,$B$8,_xlfn.NORM.S.DIST((_xlfn.NORM.S.INV($C$8)-SQRT($D$3)*$A51)/SQRT(1-$D$3),TRUE),TRUE))</f>
        <v/>
      </c>
      <c r="E51">
        <f>IF($D$9=0,1,1-_xlfn.BINOM.DIST($D$9-1,$B$9,_xlfn.NORM.S.DIST((_xlfn.NORM.S.INV($C$9)-SQRT($D$3)*$A51)/SQRT(1-$D$3),TRUE),TRUE))</f>
        <v/>
      </c>
      <c r="F51">
        <f>IF($D$10=0,1,1-_xlfn.BINOM.DIST($D$10-1,$B$10,_xlfn.NORM.S.DIST((_xlfn.NORM.S.INV($C$10)-SQRT($D$3)*$A51)/SQRT(1-$D$3),TRUE),TRUE))</f>
        <v/>
      </c>
      <c r="G51">
        <f>IF($D$11=0,1,1-_xlfn.BINOM.DIST($D$11-1,$B$11,_xlfn.NORM.S.DIST((_xlfn.NORM.S.INV($C$11)-SQRT($D$3)*$A51)/SQRT(1-$D$3),TRUE),TRUE))</f>
        <v/>
      </c>
      <c r="H51">
        <f>IF($D$12=0,1,1-_xlfn.BINOM.DIST($D$12-1,$B$12,_xlfn.NORM.S.DIST((_xlfn.NORM.S.INV($C$12)-SQRT($D$3)*$A51)/SQRT(1-$D$3),TRUE),TRUE))</f>
        <v/>
      </c>
      <c r="I51">
        <f>IF($D$13=0,1,1-_xlfn.BINOM.DIST($D$13-1,$B$13,_xlfn.NORM.S.DIST((_xlfn.NORM.S.INV($C$13)-SQRT($D$3)*$A51)/SQRT(1-$D$3),TRUE),TRUE))</f>
        <v/>
      </c>
      <c r="J51">
        <f>IF($D$14=0,1,1-_xlfn.BINOM.DIST($D$14-1,$B$14,_xlfn.NORM.S.DIST((_xlfn.NORM.S.INV($C$14)-SQRT($D$3)*$A51)/SQRT(1-$D$3),TRUE),TRUE))</f>
        <v/>
      </c>
    </row>
    <row r="52">
      <c r="A52" t="n">
        <v>-4.8</v>
      </c>
      <c r="B52">
        <f>1.0*0.1*EXP(-(A52^2)/2)/SQRT(2*PI())</f>
        <v/>
      </c>
      <c r="C52">
        <f>IF($D$7=0,1,1-_xlfn.BINOM.DIST($D$7-1,$B$7,_xlfn.NORM.S.DIST((_xlfn.NORM.S.INV($C$7)-SQRT($D$3)*$A52)/SQRT(1-$D$3),TRUE),TRUE))</f>
        <v/>
      </c>
      <c r="D52">
        <f>IF($D$8=0,1,1-_xlfn.BINOM.DIST($D$8-1,$B$8,_xlfn.NORM.S.DIST((_xlfn.NORM.S.INV($C$8)-SQRT($D$3)*$A52)/SQRT(1-$D$3),TRUE),TRUE))</f>
        <v/>
      </c>
      <c r="E52">
        <f>IF($D$9=0,1,1-_xlfn.BINOM.DIST($D$9-1,$B$9,_xlfn.NORM.S.DIST((_xlfn.NORM.S.INV($C$9)-SQRT($D$3)*$A52)/SQRT(1-$D$3),TRUE),TRUE))</f>
        <v/>
      </c>
      <c r="F52">
        <f>IF($D$10=0,1,1-_xlfn.BINOM.DIST($D$10-1,$B$10,_xlfn.NORM.S.DIST((_xlfn.NORM.S.INV($C$10)-SQRT($D$3)*$A52)/SQRT(1-$D$3),TRUE),TRUE))</f>
        <v/>
      </c>
      <c r="G52">
        <f>IF($D$11=0,1,1-_xlfn.BINOM.DIST($D$11-1,$B$11,_xlfn.NORM.S.DIST((_xlfn.NORM.S.INV($C$11)-SQRT($D$3)*$A52)/SQRT(1-$D$3),TRUE),TRUE))</f>
        <v/>
      </c>
      <c r="H52">
        <f>IF($D$12=0,1,1-_xlfn.BINOM.DIST($D$12-1,$B$12,_xlfn.NORM.S.DIST((_xlfn.NORM.S.INV($C$12)-SQRT($D$3)*$A52)/SQRT(1-$D$3),TRUE),TRUE))</f>
        <v/>
      </c>
      <c r="I52">
        <f>IF($D$13=0,1,1-_xlfn.BINOM.DIST($D$13-1,$B$13,_xlfn.NORM.S.DIST((_xlfn.NORM.S.INV($C$13)-SQRT($D$3)*$A52)/SQRT(1-$D$3),TRUE),TRUE))</f>
        <v/>
      </c>
      <c r="J52">
        <f>IF($D$14=0,1,1-_xlfn.BINOM.DIST($D$14-1,$B$14,_xlfn.NORM.S.DIST((_xlfn.NORM.S.INV($C$14)-SQRT($D$3)*$A52)/SQRT(1-$D$3),TRUE),TRUE))</f>
        <v/>
      </c>
    </row>
    <row r="53">
      <c r="A53" t="n">
        <v>-4.7</v>
      </c>
      <c r="B53">
        <f>1.0*0.1*EXP(-(A53^2)/2)/SQRT(2*PI())</f>
        <v/>
      </c>
      <c r="C53">
        <f>IF($D$7=0,1,1-_xlfn.BINOM.DIST($D$7-1,$B$7,_xlfn.NORM.S.DIST((_xlfn.NORM.S.INV($C$7)-SQRT($D$3)*$A53)/SQRT(1-$D$3),TRUE),TRUE))</f>
        <v/>
      </c>
      <c r="D53">
        <f>IF($D$8=0,1,1-_xlfn.BINOM.DIST($D$8-1,$B$8,_xlfn.NORM.S.DIST((_xlfn.NORM.S.INV($C$8)-SQRT($D$3)*$A53)/SQRT(1-$D$3),TRUE),TRUE))</f>
        <v/>
      </c>
      <c r="E53">
        <f>IF($D$9=0,1,1-_xlfn.BINOM.DIST($D$9-1,$B$9,_xlfn.NORM.S.DIST((_xlfn.NORM.S.INV($C$9)-SQRT($D$3)*$A53)/SQRT(1-$D$3),TRUE),TRUE))</f>
        <v/>
      </c>
      <c r="F53">
        <f>IF($D$10=0,1,1-_xlfn.BINOM.DIST($D$10-1,$B$10,_xlfn.NORM.S.DIST((_xlfn.NORM.S.INV($C$10)-SQRT($D$3)*$A53)/SQRT(1-$D$3),TRUE),TRUE))</f>
        <v/>
      </c>
      <c r="G53">
        <f>IF($D$11=0,1,1-_xlfn.BINOM.DIST($D$11-1,$B$11,_xlfn.NORM.S.DIST((_xlfn.NORM.S.INV($C$11)-SQRT($D$3)*$A53)/SQRT(1-$D$3),TRUE),TRUE))</f>
        <v/>
      </c>
      <c r="H53">
        <f>IF($D$12=0,1,1-_xlfn.BINOM.DIST($D$12-1,$B$12,_xlfn.NORM.S.DIST((_xlfn.NORM.S.INV($C$12)-SQRT($D$3)*$A53)/SQRT(1-$D$3),TRUE),TRUE))</f>
        <v/>
      </c>
      <c r="I53">
        <f>IF($D$13=0,1,1-_xlfn.BINOM.DIST($D$13-1,$B$13,_xlfn.NORM.S.DIST((_xlfn.NORM.S.INV($C$13)-SQRT($D$3)*$A53)/SQRT(1-$D$3),TRUE),TRUE))</f>
        <v/>
      </c>
      <c r="J53">
        <f>IF($D$14=0,1,1-_xlfn.BINOM.DIST($D$14-1,$B$14,_xlfn.NORM.S.DIST((_xlfn.NORM.S.INV($C$14)-SQRT($D$3)*$A53)/SQRT(1-$D$3),TRUE),TRUE))</f>
        <v/>
      </c>
    </row>
    <row r="54">
      <c r="A54" t="n">
        <v>-4.6</v>
      </c>
      <c r="B54">
        <f>1.0*0.1*EXP(-(A54^2)/2)/SQRT(2*PI())</f>
        <v/>
      </c>
      <c r="C54">
        <f>IF($D$7=0,1,1-_xlfn.BINOM.DIST($D$7-1,$B$7,_xlfn.NORM.S.DIST((_xlfn.NORM.S.INV($C$7)-SQRT($D$3)*$A54)/SQRT(1-$D$3),TRUE),TRUE))</f>
        <v/>
      </c>
      <c r="D54">
        <f>IF($D$8=0,1,1-_xlfn.BINOM.DIST($D$8-1,$B$8,_xlfn.NORM.S.DIST((_xlfn.NORM.S.INV($C$8)-SQRT($D$3)*$A54)/SQRT(1-$D$3),TRUE),TRUE))</f>
        <v/>
      </c>
      <c r="E54">
        <f>IF($D$9=0,1,1-_xlfn.BINOM.DIST($D$9-1,$B$9,_xlfn.NORM.S.DIST((_xlfn.NORM.S.INV($C$9)-SQRT($D$3)*$A54)/SQRT(1-$D$3),TRUE),TRUE))</f>
        <v/>
      </c>
      <c r="F54">
        <f>IF($D$10=0,1,1-_xlfn.BINOM.DIST($D$10-1,$B$10,_xlfn.NORM.S.DIST((_xlfn.NORM.S.INV($C$10)-SQRT($D$3)*$A54)/SQRT(1-$D$3),TRUE),TRUE))</f>
        <v/>
      </c>
      <c r="G54">
        <f>IF($D$11=0,1,1-_xlfn.BINOM.DIST($D$11-1,$B$11,_xlfn.NORM.S.DIST((_xlfn.NORM.S.INV($C$11)-SQRT($D$3)*$A54)/SQRT(1-$D$3),TRUE),TRUE))</f>
        <v/>
      </c>
      <c r="H54">
        <f>IF($D$12=0,1,1-_xlfn.BINOM.DIST($D$12-1,$B$12,_xlfn.NORM.S.DIST((_xlfn.NORM.S.INV($C$12)-SQRT($D$3)*$A54)/SQRT(1-$D$3),TRUE),TRUE))</f>
        <v/>
      </c>
      <c r="I54">
        <f>IF($D$13=0,1,1-_xlfn.BINOM.DIST($D$13-1,$B$13,_xlfn.NORM.S.DIST((_xlfn.NORM.S.INV($C$13)-SQRT($D$3)*$A54)/SQRT(1-$D$3),TRUE),TRUE))</f>
        <v/>
      </c>
      <c r="J54">
        <f>IF($D$14=0,1,1-_xlfn.BINOM.DIST($D$14-1,$B$14,_xlfn.NORM.S.DIST((_xlfn.NORM.S.INV($C$14)-SQRT($D$3)*$A54)/SQRT(1-$D$3),TRUE),TRUE))</f>
        <v/>
      </c>
    </row>
    <row r="55">
      <c r="A55" t="n">
        <v>-4.5</v>
      </c>
      <c r="B55">
        <f>1.0*0.1*EXP(-(A55^2)/2)/SQRT(2*PI())</f>
        <v/>
      </c>
      <c r="C55">
        <f>IF($D$7=0,1,1-_xlfn.BINOM.DIST($D$7-1,$B$7,_xlfn.NORM.S.DIST((_xlfn.NORM.S.INV($C$7)-SQRT($D$3)*$A55)/SQRT(1-$D$3),TRUE),TRUE))</f>
        <v/>
      </c>
      <c r="D55">
        <f>IF($D$8=0,1,1-_xlfn.BINOM.DIST($D$8-1,$B$8,_xlfn.NORM.S.DIST((_xlfn.NORM.S.INV($C$8)-SQRT($D$3)*$A55)/SQRT(1-$D$3),TRUE),TRUE))</f>
        <v/>
      </c>
      <c r="E55">
        <f>IF($D$9=0,1,1-_xlfn.BINOM.DIST($D$9-1,$B$9,_xlfn.NORM.S.DIST((_xlfn.NORM.S.INV($C$9)-SQRT($D$3)*$A55)/SQRT(1-$D$3),TRUE),TRUE))</f>
        <v/>
      </c>
      <c r="F55">
        <f>IF($D$10=0,1,1-_xlfn.BINOM.DIST($D$10-1,$B$10,_xlfn.NORM.S.DIST((_xlfn.NORM.S.INV($C$10)-SQRT($D$3)*$A55)/SQRT(1-$D$3),TRUE),TRUE))</f>
        <v/>
      </c>
      <c r="G55">
        <f>IF($D$11=0,1,1-_xlfn.BINOM.DIST($D$11-1,$B$11,_xlfn.NORM.S.DIST((_xlfn.NORM.S.INV($C$11)-SQRT($D$3)*$A55)/SQRT(1-$D$3),TRUE),TRUE))</f>
        <v/>
      </c>
      <c r="H55">
        <f>IF($D$12=0,1,1-_xlfn.BINOM.DIST($D$12-1,$B$12,_xlfn.NORM.S.DIST((_xlfn.NORM.S.INV($C$12)-SQRT($D$3)*$A55)/SQRT(1-$D$3),TRUE),TRUE))</f>
        <v/>
      </c>
      <c r="I55">
        <f>IF($D$13=0,1,1-_xlfn.BINOM.DIST($D$13-1,$B$13,_xlfn.NORM.S.DIST((_xlfn.NORM.S.INV($C$13)-SQRT($D$3)*$A55)/SQRT(1-$D$3),TRUE),TRUE))</f>
        <v/>
      </c>
      <c r="J55">
        <f>IF($D$14=0,1,1-_xlfn.BINOM.DIST($D$14-1,$B$14,_xlfn.NORM.S.DIST((_xlfn.NORM.S.INV($C$14)-SQRT($D$3)*$A55)/SQRT(1-$D$3),TRUE),TRUE))</f>
        <v/>
      </c>
    </row>
    <row r="56">
      <c r="A56" t="n">
        <v>-4.4</v>
      </c>
      <c r="B56">
        <f>1.0*0.1*EXP(-(A56^2)/2)/SQRT(2*PI())</f>
        <v/>
      </c>
      <c r="C56">
        <f>IF($D$7=0,1,1-_xlfn.BINOM.DIST($D$7-1,$B$7,_xlfn.NORM.S.DIST((_xlfn.NORM.S.INV($C$7)-SQRT($D$3)*$A56)/SQRT(1-$D$3),TRUE),TRUE))</f>
        <v/>
      </c>
      <c r="D56">
        <f>IF($D$8=0,1,1-_xlfn.BINOM.DIST($D$8-1,$B$8,_xlfn.NORM.S.DIST((_xlfn.NORM.S.INV($C$8)-SQRT($D$3)*$A56)/SQRT(1-$D$3),TRUE),TRUE))</f>
        <v/>
      </c>
      <c r="E56">
        <f>IF($D$9=0,1,1-_xlfn.BINOM.DIST($D$9-1,$B$9,_xlfn.NORM.S.DIST((_xlfn.NORM.S.INV($C$9)-SQRT($D$3)*$A56)/SQRT(1-$D$3),TRUE),TRUE))</f>
        <v/>
      </c>
      <c r="F56">
        <f>IF($D$10=0,1,1-_xlfn.BINOM.DIST($D$10-1,$B$10,_xlfn.NORM.S.DIST((_xlfn.NORM.S.INV($C$10)-SQRT($D$3)*$A56)/SQRT(1-$D$3),TRUE),TRUE))</f>
        <v/>
      </c>
      <c r="G56">
        <f>IF($D$11=0,1,1-_xlfn.BINOM.DIST($D$11-1,$B$11,_xlfn.NORM.S.DIST((_xlfn.NORM.S.INV($C$11)-SQRT($D$3)*$A56)/SQRT(1-$D$3),TRUE),TRUE))</f>
        <v/>
      </c>
      <c r="H56">
        <f>IF($D$12=0,1,1-_xlfn.BINOM.DIST($D$12-1,$B$12,_xlfn.NORM.S.DIST((_xlfn.NORM.S.INV($C$12)-SQRT($D$3)*$A56)/SQRT(1-$D$3),TRUE),TRUE))</f>
        <v/>
      </c>
      <c r="I56">
        <f>IF($D$13=0,1,1-_xlfn.BINOM.DIST($D$13-1,$B$13,_xlfn.NORM.S.DIST((_xlfn.NORM.S.INV($C$13)-SQRT($D$3)*$A56)/SQRT(1-$D$3),TRUE),TRUE))</f>
        <v/>
      </c>
      <c r="J56">
        <f>IF($D$14=0,1,1-_xlfn.BINOM.DIST($D$14-1,$B$14,_xlfn.NORM.S.DIST((_xlfn.NORM.S.INV($C$14)-SQRT($D$3)*$A56)/SQRT(1-$D$3),TRUE),TRUE))</f>
        <v/>
      </c>
    </row>
    <row r="57">
      <c r="A57" t="n">
        <v>-4.3</v>
      </c>
      <c r="B57">
        <f>1.0*0.1*EXP(-(A57^2)/2)/SQRT(2*PI())</f>
        <v/>
      </c>
      <c r="C57">
        <f>IF($D$7=0,1,1-_xlfn.BINOM.DIST($D$7-1,$B$7,_xlfn.NORM.S.DIST((_xlfn.NORM.S.INV($C$7)-SQRT($D$3)*$A57)/SQRT(1-$D$3),TRUE),TRUE))</f>
        <v/>
      </c>
      <c r="D57">
        <f>IF($D$8=0,1,1-_xlfn.BINOM.DIST($D$8-1,$B$8,_xlfn.NORM.S.DIST((_xlfn.NORM.S.INV($C$8)-SQRT($D$3)*$A57)/SQRT(1-$D$3),TRUE),TRUE))</f>
        <v/>
      </c>
      <c r="E57">
        <f>IF($D$9=0,1,1-_xlfn.BINOM.DIST($D$9-1,$B$9,_xlfn.NORM.S.DIST((_xlfn.NORM.S.INV($C$9)-SQRT($D$3)*$A57)/SQRT(1-$D$3),TRUE),TRUE))</f>
        <v/>
      </c>
      <c r="F57">
        <f>IF($D$10=0,1,1-_xlfn.BINOM.DIST($D$10-1,$B$10,_xlfn.NORM.S.DIST((_xlfn.NORM.S.INV($C$10)-SQRT($D$3)*$A57)/SQRT(1-$D$3),TRUE),TRUE))</f>
        <v/>
      </c>
      <c r="G57">
        <f>IF($D$11=0,1,1-_xlfn.BINOM.DIST($D$11-1,$B$11,_xlfn.NORM.S.DIST((_xlfn.NORM.S.INV($C$11)-SQRT($D$3)*$A57)/SQRT(1-$D$3),TRUE),TRUE))</f>
        <v/>
      </c>
      <c r="H57">
        <f>IF($D$12=0,1,1-_xlfn.BINOM.DIST($D$12-1,$B$12,_xlfn.NORM.S.DIST((_xlfn.NORM.S.INV($C$12)-SQRT($D$3)*$A57)/SQRT(1-$D$3),TRUE),TRUE))</f>
        <v/>
      </c>
      <c r="I57">
        <f>IF($D$13=0,1,1-_xlfn.BINOM.DIST($D$13-1,$B$13,_xlfn.NORM.S.DIST((_xlfn.NORM.S.INV($C$13)-SQRT($D$3)*$A57)/SQRT(1-$D$3),TRUE),TRUE))</f>
        <v/>
      </c>
      <c r="J57">
        <f>IF($D$14=0,1,1-_xlfn.BINOM.DIST($D$14-1,$B$14,_xlfn.NORM.S.DIST((_xlfn.NORM.S.INV($C$14)-SQRT($D$3)*$A57)/SQRT(1-$D$3),TRUE),TRUE))</f>
        <v/>
      </c>
    </row>
    <row r="58">
      <c r="A58" t="n">
        <v>-4.2</v>
      </c>
      <c r="B58">
        <f>1.0*0.1*EXP(-(A58^2)/2)/SQRT(2*PI())</f>
        <v/>
      </c>
      <c r="C58">
        <f>IF($D$7=0,1,1-_xlfn.BINOM.DIST($D$7-1,$B$7,_xlfn.NORM.S.DIST((_xlfn.NORM.S.INV($C$7)-SQRT($D$3)*$A58)/SQRT(1-$D$3),TRUE),TRUE))</f>
        <v/>
      </c>
      <c r="D58">
        <f>IF($D$8=0,1,1-_xlfn.BINOM.DIST($D$8-1,$B$8,_xlfn.NORM.S.DIST((_xlfn.NORM.S.INV($C$8)-SQRT($D$3)*$A58)/SQRT(1-$D$3),TRUE),TRUE))</f>
        <v/>
      </c>
      <c r="E58">
        <f>IF($D$9=0,1,1-_xlfn.BINOM.DIST($D$9-1,$B$9,_xlfn.NORM.S.DIST((_xlfn.NORM.S.INV($C$9)-SQRT($D$3)*$A58)/SQRT(1-$D$3),TRUE),TRUE))</f>
        <v/>
      </c>
      <c r="F58">
        <f>IF($D$10=0,1,1-_xlfn.BINOM.DIST($D$10-1,$B$10,_xlfn.NORM.S.DIST((_xlfn.NORM.S.INV($C$10)-SQRT($D$3)*$A58)/SQRT(1-$D$3),TRUE),TRUE))</f>
        <v/>
      </c>
      <c r="G58">
        <f>IF($D$11=0,1,1-_xlfn.BINOM.DIST($D$11-1,$B$11,_xlfn.NORM.S.DIST((_xlfn.NORM.S.INV($C$11)-SQRT($D$3)*$A58)/SQRT(1-$D$3),TRUE),TRUE))</f>
        <v/>
      </c>
      <c r="H58">
        <f>IF($D$12=0,1,1-_xlfn.BINOM.DIST($D$12-1,$B$12,_xlfn.NORM.S.DIST((_xlfn.NORM.S.INV($C$12)-SQRT($D$3)*$A58)/SQRT(1-$D$3),TRUE),TRUE))</f>
        <v/>
      </c>
      <c r="I58">
        <f>IF($D$13=0,1,1-_xlfn.BINOM.DIST($D$13-1,$B$13,_xlfn.NORM.S.DIST((_xlfn.NORM.S.INV($C$13)-SQRT($D$3)*$A58)/SQRT(1-$D$3),TRUE),TRUE))</f>
        <v/>
      </c>
      <c r="J58">
        <f>IF($D$14=0,1,1-_xlfn.BINOM.DIST($D$14-1,$B$14,_xlfn.NORM.S.DIST((_xlfn.NORM.S.INV($C$14)-SQRT($D$3)*$A58)/SQRT(1-$D$3),TRUE),TRUE))</f>
        <v/>
      </c>
    </row>
    <row r="59">
      <c r="A59" t="n">
        <v>-4.1</v>
      </c>
      <c r="B59">
        <f>1.0*0.1*EXP(-(A59^2)/2)/SQRT(2*PI())</f>
        <v/>
      </c>
      <c r="C59">
        <f>IF($D$7=0,1,1-_xlfn.BINOM.DIST($D$7-1,$B$7,_xlfn.NORM.S.DIST((_xlfn.NORM.S.INV($C$7)-SQRT($D$3)*$A59)/SQRT(1-$D$3),TRUE),TRUE))</f>
        <v/>
      </c>
      <c r="D59">
        <f>IF($D$8=0,1,1-_xlfn.BINOM.DIST($D$8-1,$B$8,_xlfn.NORM.S.DIST((_xlfn.NORM.S.INV($C$8)-SQRT($D$3)*$A59)/SQRT(1-$D$3),TRUE),TRUE))</f>
        <v/>
      </c>
      <c r="E59">
        <f>IF($D$9=0,1,1-_xlfn.BINOM.DIST($D$9-1,$B$9,_xlfn.NORM.S.DIST((_xlfn.NORM.S.INV($C$9)-SQRT($D$3)*$A59)/SQRT(1-$D$3),TRUE),TRUE))</f>
        <v/>
      </c>
      <c r="F59">
        <f>IF($D$10=0,1,1-_xlfn.BINOM.DIST($D$10-1,$B$10,_xlfn.NORM.S.DIST((_xlfn.NORM.S.INV($C$10)-SQRT($D$3)*$A59)/SQRT(1-$D$3),TRUE),TRUE))</f>
        <v/>
      </c>
      <c r="G59">
        <f>IF($D$11=0,1,1-_xlfn.BINOM.DIST($D$11-1,$B$11,_xlfn.NORM.S.DIST((_xlfn.NORM.S.INV($C$11)-SQRT($D$3)*$A59)/SQRT(1-$D$3),TRUE),TRUE))</f>
        <v/>
      </c>
      <c r="H59">
        <f>IF($D$12=0,1,1-_xlfn.BINOM.DIST($D$12-1,$B$12,_xlfn.NORM.S.DIST((_xlfn.NORM.S.INV($C$12)-SQRT($D$3)*$A59)/SQRT(1-$D$3),TRUE),TRUE))</f>
        <v/>
      </c>
      <c r="I59">
        <f>IF($D$13=0,1,1-_xlfn.BINOM.DIST($D$13-1,$B$13,_xlfn.NORM.S.DIST((_xlfn.NORM.S.INV($C$13)-SQRT($D$3)*$A59)/SQRT(1-$D$3),TRUE),TRUE))</f>
        <v/>
      </c>
      <c r="J59">
        <f>IF($D$14=0,1,1-_xlfn.BINOM.DIST($D$14-1,$B$14,_xlfn.NORM.S.DIST((_xlfn.NORM.S.INV($C$14)-SQRT($D$3)*$A59)/SQRT(1-$D$3),TRUE),TRUE))</f>
        <v/>
      </c>
    </row>
    <row r="60">
      <c r="A60" t="n">
        <v>-4</v>
      </c>
      <c r="B60">
        <f>1.0*0.1*EXP(-(A60^2)/2)/SQRT(2*PI())</f>
        <v/>
      </c>
      <c r="C60">
        <f>IF($D$7=0,1,1-_xlfn.BINOM.DIST($D$7-1,$B$7,_xlfn.NORM.S.DIST((_xlfn.NORM.S.INV($C$7)-SQRT($D$3)*$A60)/SQRT(1-$D$3),TRUE),TRUE))</f>
        <v/>
      </c>
      <c r="D60">
        <f>IF($D$8=0,1,1-_xlfn.BINOM.DIST($D$8-1,$B$8,_xlfn.NORM.S.DIST((_xlfn.NORM.S.INV($C$8)-SQRT($D$3)*$A60)/SQRT(1-$D$3),TRUE),TRUE))</f>
        <v/>
      </c>
      <c r="E60">
        <f>IF($D$9=0,1,1-_xlfn.BINOM.DIST($D$9-1,$B$9,_xlfn.NORM.S.DIST((_xlfn.NORM.S.INV($C$9)-SQRT($D$3)*$A60)/SQRT(1-$D$3),TRUE),TRUE))</f>
        <v/>
      </c>
      <c r="F60">
        <f>IF($D$10=0,1,1-_xlfn.BINOM.DIST($D$10-1,$B$10,_xlfn.NORM.S.DIST((_xlfn.NORM.S.INV($C$10)-SQRT($D$3)*$A60)/SQRT(1-$D$3),TRUE),TRUE))</f>
        <v/>
      </c>
      <c r="G60">
        <f>IF($D$11=0,1,1-_xlfn.BINOM.DIST($D$11-1,$B$11,_xlfn.NORM.S.DIST((_xlfn.NORM.S.INV($C$11)-SQRT($D$3)*$A60)/SQRT(1-$D$3),TRUE),TRUE))</f>
        <v/>
      </c>
      <c r="H60">
        <f>IF($D$12=0,1,1-_xlfn.BINOM.DIST($D$12-1,$B$12,_xlfn.NORM.S.DIST((_xlfn.NORM.S.INV($C$12)-SQRT($D$3)*$A60)/SQRT(1-$D$3),TRUE),TRUE))</f>
        <v/>
      </c>
      <c r="I60">
        <f>IF($D$13=0,1,1-_xlfn.BINOM.DIST($D$13-1,$B$13,_xlfn.NORM.S.DIST((_xlfn.NORM.S.INV($C$13)-SQRT($D$3)*$A60)/SQRT(1-$D$3),TRUE),TRUE))</f>
        <v/>
      </c>
      <c r="J60">
        <f>IF($D$14=0,1,1-_xlfn.BINOM.DIST($D$14-1,$B$14,_xlfn.NORM.S.DIST((_xlfn.NORM.S.INV($C$14)-SQRT($D$3)*$A60)/SQRT(1-$D$3),TRUE),TRUE))</f>
        <v/>
      </c>
    </row>
    <row r="61">
      <c r="A61" t="n">
        <v>-3.9</v>
      </c>
      <c r="B61">
        <f>1.0*0.1*EXP(-(A61^2)/2)/SQRT(2*PI())</f>
        <v/>
      </c>
      <c r="C61">
        <f>IF($D$7=0,1,1-_xlfn.BINOM.DIST($D$7-1,$B$7,_xlfn.NORM.S.DIST((_xlfn.NORM.S.INV($C$7)-SQRT($D$3)*$A61)/SQRT(1-$D$3),TRUE),TRUE))</f>
        <v/>
      </c>
      <c r="D61">
        <f>IF($D$8=0,1,1-_xlfn.BINOM.DIST($D$8-1,$B$8,_xlfn.NORM.S.DIST((_xlfn.NORM.S.INV($C$8)-SQRT($D$3)*$A61)/SQRT(1-$D$3),TRUE),TRUE))</f>
        <v/>
      </c>
      <c r="E61">
        <f>IF($D$9=0,1,1-_xlfn.BINOM.DIST($D$9-1,$B$9,_xlfn.NORM.S.DIST((_xlfn.NORM.S.INV($C$9)-SQRT($D$3)*$A61)/SQRT(1-$D$3),TRUE),TRUE))</f>
        <v/>
      </c>
      <c r="F61">
        <f>IF($D$10=0,1,1-_xlfn.BINOM.DIST($D$10-1,$B$10,_xlfn.NORM.S.DIST((_xlfn.NORM.S.INV($C$10)-SQRT($D$3)*$A61)/SQRT(1-$D$3),TRUE),TRUE))</f>
        <v/>
      </c>
      <c r="G61">
        <f>IF($D$11=0,1,1-_xlfn.BINOM.DIST($D$11-1,$B$11,_xlfn.NORM.S.DIST((_xlfn.NORM.S.INV($C$11)-SQRT($D$3)*$A61)/SQRT(1-$D$3),TRUE),TRUE))</f>
        <v/>
      </c>
      <c r="H61">
        <f>IF($D$12=0,1,1-_xlfn.BINOM.DIST($D$12-1,$B$12,_xlfn.NORM.S.DIST((_xlfn.NORM.S.INV($C$12)-SQRT($D$3)*$A61)/SQRT(1-$D$3),TRUE),TRUE))</f>
        <v/>
      </c>
      <c r="I61">
        <f>IF($D$13=0,1,1-_xlfn.BINOM.DIST($D$13-1,$B$13,_xlfn.NORM.S.DIST((_xlfn.NORM.S.INV($C$13)-SQRT($D$3)*$A61)/SQRT(1-$D$3),TRUE),TRUE))</f>
        <v/>
      </c>
      <c r="J61">
        <f>IF($D$14=0,1,1-_xlfn.BINOM.DIST($D$14-1,$B$14,_xlfn.NORM.S.DIST((_xlfn.NORM.S.INV($C$14)-SQRT($D$3)*$A61)/SQRT(1-$D$3),TRUE),TRUE))</f>
        <v/>
      </c>
    </row>
    <row r="62">
      <c r="A62" t="n">
        <v>-3.8</v>
      </c>
      <c r="B62">
        <f>1.0*0.1*EXP(-(A62^2)/2)/SQRT(2*PI())</f>
        <v/>
      </c>
      <c r="C62">
        <f>IF($D$7=0,1,1-_xlfn.BINOM.DIST($D$7-1,$B$7,_xlfn.NORM.S.DIST((_xlfn.NORM.S.INV($C$7)-SQRT($D$3)*$A62)/SQRT(1-$D$3),TRUE),TRUE))</f>
        <v/>
      </c>
      <c r="D62">
        <f>IF($D$8=0,1,1-_xlfn.BINOM.DIST($D$8-1,$B$8,_xlfn.NORM.S.DIST((_xlfn.NORM.S.INV($C$8)-SQRT($D$3)*$A62)/SQRT(1-$D$3),TRUE),TRUE))</f>
        <v/>
      </c>
      <c r="E62">
        <f>IF($D$9=0,1,1-_xlfn.BINOM.DIST($D$9-1,$B$9,_xlfn.NORM.S.DIST((_xlfn.NORM.S.INV($C$9)-SQRT($D$3)*$A62)/SQRT(1-$D$3),TRUE),TRUE))</f>
        <v/>
      </c>
      <c r="F62">
        <f>IF($D$10=0,1,1-_xlfn.BINOM.DIST($D$10-1,$B$10,_xlfn.NORM.S.DIST((_xlfn.NORM.S.INV($C$10)-SQRT($D$3)*$A62)/SQRT(1-$D$3),TRUE),TRUE))</f>
        <v/>
      </c>
      <c r="G62">
        <f>IF($D$11=0,1,1-_xlfn.BINOM.DIST($D$11-1,$B$11,_xlfn.NORM.S.DIST((_xlfn.NORM.S.INV($C$11)-SQRT($D$3)*$A62)/SQRT(1-$D$3),TRUE),TRUE))</f>
        <v/>
      </c>
      <c r="H62">
        <f>IF($D$12=0,1,1-_xlfn.BINOM.DIST($D$12-1,$B$12,_xlfn.NORM.S.DIST((_xlfn.NORM.S.INV($C$12)-SQRT($D$3)*$A62)/SQRT(1-$D$3),TRUE),TRUE))</f>
        <v/>
      </c>
      <c r="I62">
        <f>IF($D$13=0,1,1-_xlfn.BINOM.DIST($D$13-1,$B$13,_xlfn.NORM.S.DIST((_xlfn.NORM.S.INV($C$13)-SQRT($D$3)*$A62)/SQRT(1-$D$3),TRUE),TRUE))</f>
        <v/>
      </c>
      <c r="J62">
        <f>IF($D$14=0,1,1-_xlfn.BINOM.DIST($D$14-1,$B$14,_xlfn.NORM.S.DIST((_xlfn.NORM.S.INV($C$14)-SQRT($D$3)*$A62)/SQRT(1-$D$3),TRUE),TRUE))</f>
        <v/>
      </c>
    </row>
    <row r="63">
      <c r="A63" t="n">
        <v>-3.7</v>
      </c>
      <c r="B63">
        <f>1.0*0.1*EXP(-(A63^2)/2)/SQRT(2*PI())</f>
        <v/>
      </c>
      <c r="C63">
        <f>IF($D$7=0,1,1-_xlfn.BINOM.DIST($D$7-1,$B$7,_xlfn.NORM.S.DIST((_xlfn.NORM.S.INV($C$7)-SQRT($D$3)*$A63)/SQRT(1-$D$3),TRUE),TRUE))</f>
        <v/>
      </c>
      <c r="D63">
        <f>IF($D$8=0,1,1-_xlfn.BINOM.DIST($D$8-1,$B$8,_xlfn.NORM.S.DIST((_xlfn.NORM.S.INV($C$8)-SQRT($D$3)*$A63)/SQRT(1-$D$3),TRUE),TRUE))</f>
        <v/>
      </c>
      <c r="E63">
        <f>IF($D$9=0,1,1-_xlfn.BINOM.DIST($D$9-1,$B$9,_xlfn.NORM.S.DIST((_xlfn.NORM.S.INV($C$9)-SQRT($D$3)*$A63)/SQRT(1-$D$3),TRUE),TRUE))</f>
        <v/>
      </c>
      <c r="F63">
        <f>IF($D$10=0,1,1-_xlfn.BINOM.DIST($D$10-1,$B$10,_xlfn.NORM.S.DIST((_xlfn.NORM.S.INV($C$10)-SQRT($D$3)*$A63)/SQRT(1-$D$3),TRUE),TRUE))</f>
        <v/>
      </c>
      <c r="G63">
        <f>IF($D$11=0,1,1-_xlfn.BINOM.DIST($D$11-1,$B$11,_xlfn.NORM.S.DIST((_xlfn.NORM.S.INV($C$11)-SQRT($D$3)*$A63)/SQRT(1-$D$3),TRUE),TRUE))</f>
        <v/>
      </c>
      <c r="H63">
        <f>IF($D$12=0,1,1-_xlfn.BINOM.DIST($D$12-1,$B$12,_xlfn.NORM.S.DIST((_xlfn.NORM.S.INV($C$12)-SQRT($D$3)*$A63)/SQRT(1-$D$3),TRUE),TRUE))</f>
        <v/>
      </c>
      <c r="I63">
        <f>IF($D$13=0,1,1-_xlfn.BINOM.DIST($D$13-1,$B$13,_xlfn.NORM.S.DIST((_xlfn.NORM.S.INV($C$13)-SQRT($D$3)*$A63)/SQRT(1-$D$3),TRUE),TRUE))</f>
        <v/>
      </c>
      <c r="J63">
        <f>IF($D$14=0,1,1-_xlfn.BINOM.DIST($D$14-1,$B$14,_xlfn.NORM.S.DIST((_xlfn.NORM.S.INV($C$14)-SQRT($D$3)*$A63)/SQRT(1-$D$3),TRUE),TRUE))</f>
        <v/>
      </c>
    </row>
    <row r="64">
      <c r="A64" t="n">
        <v>-3.6</v>
      </c>
      <c r="B64">
        <f>1.0*0.1*EXP(-(A64^2)/2)/SQRT(2*PI())</f>
        <v/>
      </c>
      <c r="C64">
        <f>IF($D$7=0,1,1-_xlfn.BINOM.DIST($D$7-1,$B$7,_xlfn.NORM.S.DIST((_xlfn.NORM.S.INV($C$7)-SQRT($D$3)*$A64)/SQRT(1-$D$3),TRUE),TRUE))</f>
        <v/>
      </c>
      <c r="D64">
        <f>IF($D$8=0,1,1-_xlfn.BINOM.DIST($D$8-1,$B$8,_xlfn.NORM.S.DIST((_xlfn.NORM.S.INV($C$8)-SQRT($D$3)*$A64)/SQRT(1-$D$3),TRUE),TRUE))</f>
        <v/>
      </c>
      <c r="E64">
        <f>IF($D$9=0,1,1-_xlfn.BINOM.DIST($D$9-1,$B$9,_xlfn.NORM.S.DIST((_xlfn.NORM.S.INV($C$9)-SQRT($D$3)*$A64)/SQRT(1-$D$3),TRUE),TRUE))</f>
        <v/>
      </c>
      <c r="F64">
        <f>IF($D$10=0,1,1-_xlfn.BINOM.DIST($D$10-1,$B$10,_xlfn.NORM.S.DIST((_xlfn.NORM.S.INV($C$10)-SQRT($D$3)*$A64)/SQRT(1-$D$3),TRUE),TRUE))</f>
        <v/>
      </c>
      <c r="G64">
        <f>IF($D$11=0,1,1-_xlfn.BINOM.DIST($D$11-1,$B$11,_xlfn.NORM.S.DIST((_xlfn.NORM.S.INV($C$11)-SQRT($D$3)*$A64)/SQRT(1-$D$3),TRUE),TRUE))</f>
        <v/>
      </c>
      <c r="H64">
        <f>IF($D$12=0,1,1-_xlfn.BINOM.DIST($D$12-1,$B$12,_xlfn.NORM.S.DIST((_xlfn.NORM.S.INV($C$12)-SQRT($D$3)*$A64)/SQRT(1-$D$3),TRUE),TRUE))</f>
        <v/>
      </c>
      <c r="I64">
        <f>IF($D$13=0,1,1-_xlfn.BINOM.DIST($D$13-1,$B$13,_xlfn.NORM.S.DIST((_xlfn.NORM.S.INV($C$13)-SQRT($D$3)*$A64)/SQRT(1-$D$3),TRUE),TRUE))</f>
        <v/>
      </c>
      <c r="J64">
        <f>IF($D$14=0,1,1-_xlfn.BINOM.DIST($D$14-1,$B$14,_xlfn.NORM.S.DIST((_xlfn.NORM.S.INV($C$14)-SQRT($D$3)*$A64)/SQRT(1-$D$3),TRUE),TRUE))</f>
        <v/>
      </c>
    </row>
    <row r="65">
      <c r="A65" t="n">
        <v>-3.5</v>
      </c>
      <c r="B65">
        <f>1.0*0.1*EXP(-(A65^2)/2)/SQRT(2*PI())</f>
        <v/>
      </c>
      <c r="C65">
        <f>IF($D$7=0,1,1-_xlfn.BINOM.DIST($D$7-1,$B$7,_xlfn.NORM.S.DIST((_xlfn.NORM.S.INV($C$7)-SQRT($D$3)*$A65)/SQRT(1-$D$3),TRUE),TRUE))</f>
        <v/>
      </c>
      <c r="D65">
        <f>IF($D$8=0,1,1-_xlfn.BINOM.DIST($D$8-1,$B$8,_xlfn.NORM.S.DIST((_xlfn.NORM.S.INV($C$8)-SQRT($D$3)*$A65)/SQRT(1-$D$3),TRUE),TRUE))</f>
        <v/>
      </c>
      <c r="E65">
        <f>IF($D$9=0,1,1-_xlfn.BINOM.DIST($D$9-1,$B$9,_xlfn.NORM.S.DIST((_xlfn.NORM.S.INV($C$9)-SQRT($D$3)*$A65)/SQRT(1-$D$3),TRUE),TRUE))</f>
        <v/>
      </c>
      <c r="F65">
        <f>IF($D$10=0,1,1-_xlfn.BINOM.DIST($D$10-1,$B$10,_xlfn.NORM.S.DIST((_xlfn.NORM.S.INV($C$10)-SQRT($D$3)*$A65)/SQRT(1-$D$3),TRUE),TRUE))</f>
        <v/>
      </c>
      <c r="G65">
        <f>IF($D$11=0,1,1-_xlfn.BINOM.DIST($D$11-1,$B$11,_xlfn.NORM.S.DIST((_xlfn.NORM.S.INV($C$11)-SQRT($D$3)*$A65)/SQRT(1-$D$3),TRUE),TRUE))</f>
        <v/>
      </c>
      <c r="H65">
        <f>IF($D$12=0,1,1-_xlfn.BINOM.DIST($D$12-1,$B$12,_xlfn.NORM.S.DIST((_xlfn.NORM.S.INV($C$12)-SQRT($D$3)*$A65)/SQRT(1-$D$3),TRUE),TRUE))</f>
        <v/>
      </c>
      <c r="I65">
        <f>IF($D$13=0,1,1-_xlfn.BINOM.DIST($D$13-1,$B$13,_xlfn.NORM.S.DIST((_xlfn.NORM.S.INV($C$13)-SQRT($D$3)*$A65)/SQRT(1-$D$3),TRUE),TRUE))</f>
        <v/>
      </c>
      <c r="J65">
        <f>IF($D$14=0,1,1-_xlfn.BINOM.DIST($D$14-1,$B$14,_xlfn.NORM.S.DIST((_xlfn.NORM.S.INV($C$14)-SQRT($D$3)*$A65)/SQRT(1-$D$3),TRUE),TRUE))</f>
        <v/>
      </c>
    </row>
    <row r="66">
      <c r="A66" t="n">
        <v>-3.4</v>
      </c>
      <c r="B66">
        <f>1.0*0.1*EXP(-(A66^2)/2)/SQRT(2*PI())</f>
        <v/>
      </c>
      <c r="C66">
        <f>IF($D$7=0,1,1-_xlfn.BINOM.DIST($D$7-1,$B$7,_xlfn.NORM.S.DIST((_xlfn.NORM.S.INV($C$7)-SQRT($D$3)*$A66)/SQRT(1-$D$3),TRUE),TRUE))</f>
        <v/>
      </c>
      <c r="D66">
        <f>IF($D$8=0,1,1-_xlfn.BINOM.DIST($D$8-1,$B$8,_xlfn.NORM.S.DIST((_xlfn.NORM.S.INV($C$8)-SQRT($D$3)*$A66)/SQRT(1-$D$3),TRUE),TRUE))</f>
        <v/>
      </c>
      <c r="E66">
        <f>IF($D$9=0,1,1-_xlfn.BINOM.DIST($D$9-1,$B$9,_xlfn.NORM.S.DIST((_xlfn.NORM.S.INV($C$9)-SQRT($D$3)*$A66)/SQRT(1-$D$3),TRUE),TRUE))</f>
        <v/>
      </c>
      <c r="F66">
        <f>IF($D$10=0,1,1-_xlfn.BINOM.DIST($D$10-1,$B$10,_xlfn.NORM.S.DIST((_xlfn.NORM.S.INV($C$10)-SQRT($D$3)*$A66)/SQRT(1-$D$3),TRUE),TRUE))</f>
        <v/>
      </c>
      <c r="G66">
        <f>IF($D$11=0,1,1-_xlfn.BINOM.DIST($D$11-1,$B$11,_xlfn.NORM.S.DIST((_xlfn.NORM.S.INV($C$11)-SQRT($D$3)*$A66)/SQRT(1-$D$3),TRUE),TRUE))</f>
        <v/>
      </c>
      <c r="H66">
        <f>IF($D$12=0,1,1-_xlfn.BINOM.DIST($D$12-1,$B$12,_xlfn.NORM.S.DIST((_xlfn.NORM.S.INV($C$12)-SQRT($D$3)*$A66)/SQRT(1-$D$3),TRUE),TRUE))</f>
        <v/>
      </c>
      <c r="I66">
        <f>IF($D$13=0,1,1-_xlfn.BINOM.DIST($D$13-1,$B$13,_xlfn.NORM.S.DIST((_xlfn.NORM.S.INV($C$13)-SQRT($D$3)*$A66)/SQRT(1-$D$3),TRUE),TRUE))</f>
        <v/>
      </c>
      <c r="J66">
        <f>IF($D$14=0,1,1-_xlfn.BINOM.DIST($D$14-1,$B$14,_xlfn.NORM.S.DIST((_xlfn.NORM.S.INV($C$14)-SQRT($D$3)*$A66)/SQRT(1-$D$3),TRUE),TRUE))</f>
        <v/>
      </c>
    </row>
    <row r="67">
      <c r="A67" t="n">
        <v>-3.3</v>
      </c>
      <c r="B67">
        <f>1.0*0.1*EXP(-(A67^2)/2)/SQRT(2*PI())</f>
        <v/>
      </c>
      <c r="C67">
        <f>IF($D$7=0,1,1-_xlfn.BINOM.DIST($D$7-1,$B$7,_xlfn.NORM.S.DIST((_xlfn.NORM.S.INV($C$7)-SQRT($D$3)*$A67)/SQRT(1-$D$3),TRUE),TRUE))</f>
        <v/>
      </c>
      <c r="D67">
        <f>IF($D$8=0,1,1-_xlfn.BINOM.DIST($D$8-1,$B$8,_xlfn.NORM.S.DIST((_xlfn.NORM.S.INV($C$8)-SQRT($D$3)*$A67)/SQRT(1-$D$3),TRUE),TRUE))</f>
        <v/>
      </c>
      <c r="E67">
        <f>IF($D$9=0,1,1-_xlfn.BINOM.DIST($D$9-1,$B$9,_xlfn.NORM.S.DIST((_xlfn.NORM.S.INV($C$9)-SQRT($D$3)*$A67)/SQRT(1-$D$3),TRUE),TRUE))</f>
        <v/>
      </c>
      <c r="F67">
        <f>IF($D$10=0,1,1-_xlfn.BINOM.DIST($D$10-1,$B$10,_xlfn.NORM.S.DIST((_xlfn.NORM.S.INV($C$10)-SQRT($D$3)*$A67)/SQRT(1-$D$3),TRUE),TRUE))</f>
        <v/>
      </c>
      <c r="G67">
        <f>IF($D$11=0,1,1-_xlfn.BINOM.DIST($D$11-1,$B$11,_xlfn.NORM.S.DIST((_xlfn.NORM.S.INV($C$11)-SQRT($D$3)*$A67)/SQRT(1-$D$3),TRUE),TRUE))</f>
        <v/>
      </c>
      <c r="H67">
        <f>IF($D$12=0,1,1-_xlfn.BINOM.DIST($D$12-1,$B$12,_xlfn.NORM.S.DIST((_xlfn.NORM.S.INV($C$12)-SQRT($D$3)*$A67)/SQRT(1-$D$3),TRUE),TRUE))</f>
        <v/>
      </c>
      <c r="I67">
        <f>IF($D$13=0,1,1-_xlfn.BINOM.DIST($D$13-1,$B$13,_xlfn.NORM.S.DIST((_xlfn.NORM.S.INV($C$13)-SQRT($D$3)*$A67)/SQRT(1-$D$3),TRUE),TRUE))</f>
        <v/>
      </c>
      <c r="J67">
        <f>IF($D$14=0,1,1-_xlfn.BINOM.DIST($D$14-1,$B$14,_xlfn.NORM.S.DIST((_xlfn.NORM.S.INV($C$14)-SQRT($D$3)*$A67)/SQRT(1-$D$3),TRUE),TRUE))</f>
        <v/>
      </c>
    </row>
    <row r="68">
      <c r="A68" t="n">
        <v>-3.2</v>
      </c>
      <c r="B68">
        <f>1.0*0.1*EXP(-(A68^2)/2)/SQRT(2*PI())</f>
        <v/>
      </c>
      <c r="C68">
        <f>IF($D$7=0,1,1-_xlfn.BINOM.DIST($D$7-1,$B$7,_xlfn.NORM.S.DIST((_xlfn.NORM.S.INV($C$7)-SQRT($D$3)*$A68)/SQRT(1-$D$3),TRUE),TRUE))</f>
        <v/>
      </c>
      <c r="D68">
        <f>IF($D$8=0,1,1-_xlfn.BINOM.DIST($D$8-1,$B$8,_xlfn.NORM.S.DIST((_xlfn.NORM.S.INV($C$8)-SQRT($D$3)*$A68)/SQRT(1-$D$3),TRUE),TRUE))</f>
        <v/>
      </c>
      <c r="E68">
        <f>IF($D$9=0,1,1-_xlfn.BINOM.DIST($D$9-1,$B$9,_xlfn.NORM.S.DIST((_xlfn.NORM.S.INV($C$9)-SQRT($D$3)*$A68)/SQRT(1-$D$3),TRUE),TRUE))</f>
        <v/>
      </c>
      <c r="F68">
        <f>IF($D$10=0,1,1-_xlfn.BINOM.DIST($D$10-1,$B$10,_xlfn.NORM.S.DIST((_xlfn.NORM.S.INV($C$10)-SQRT($D$3)*$A68)/SQRT(1-$D$3),TRUE),TRUE))</f>
        <v/>
      </c>
      <c r="G68">
        <f>IF($D$11=0,1,1-_xlfn.BINOM.DIST($D$11-1,$B$11,_xlfn.NORM.S.DIST((_xlfn.NORM.S.INV($C$11)-SQRT($D$3)*$A68)/SQRT(1-$D$3),TRUE),TRUE))</f>
        <v/>
      </c>
      <c r="H68">
        <f>IF($D$12=0,1,1-_xlfn.BINOM.DIST($D$12-1,$B$12,_xlfn.NORM.S.DIST((_xlfn.NORM.S.INV($C$12)-SQRT($D$3)*$A68)/SQRT(1-$D$3),TRUE),TRUE))</f>
        <v/>
      </c>
      <c r="I68">
        <f>IF($D$13=0,1,1-_xlfn.BINOM.DIST($D$13-1,$B$13,_xlfn.NORM.S.DIST((_xlfn.NORM.S.INV($C$13)-SQRT($D$3)*$A68)/SQRT(1-$D$3),TRUE),TRUE))</f>
        <v/>
      </c>
      <c r="J68">
        <f>IF($D$14=0,1,1-_xlfn.BINOM.DIST($D$14-1,$B$14,_xlfn.NORM.S.DIST((_xlfn.NORM.S.INV($C$14)-SQRT($D$3)*$A68)/SQRT(1-$D$3),TRUE),TRUE))</f>
        <v/>
      </c>
    </row>
    <row r="69">
      <c r="A69" t="n">
        <v>-3.1</v>
      </c>
      <c r="B69">
        <f>1.0*0.1*EXP(-(A69^2)/2)/SQRT(2*PI())</f>
        <v/>
      </c>
      <c r="C69">
        <f>IF($D$7=0,1,1-_xlfn.BINOM.DIST($D$7-1,$B$7,_xlfn.NORM.S.DIST((_xlfn.NORM.S.INV($C$7)-SQRT($D$3)*$A69)/SQRT(1-$D$3),TRUE),TRUE))</f>
        <v/>
      </c>
      <c r="D69">
        <f>IF($D$8=0,1,1-_xlfn.BINOM.DIST($D$8-1,$B$8,_xlfn.NORM.S.DIST((_xlfn.NORM.S.INV($C$8)-SQRT($D$3)*$A69)/SQRT(1-$D$3),TRUE),TRUE))</f>
        <v/>
      </c>
      <c r="E69">
        <f>IF($D$9=0,1,1-_xlfn.BINOM.DIST($D$9-1,$B$9,_xlfn.NORM.S.DIST((_xlfn.NORM.S.INV($C$9)-SQRT($D$3)*$A69)/SQRT(1-$D$3),TRUE),TRUE))</f>
        <v/>
      </c>
      <c r="F69">
        <f>IF($D$10=0,1,1-_xlfn.BINOM.DIST($D$10-1,$B$10,_xlfn.NORM.S.DIST((_xlfn.NORM.S.INV($C$10)-SQRT($D$3)*$A69)/SQRT(1-$D$3),TRUE),TRUE))</f>
        <v/>
      </c>
      <c r="G69">
        <f>IF($D$11=0,1,1-_xlfn.BINOM.DIST($D$11-1,$B$11,_xlfn.NORM.S.DIST((_xlfn.NORM.S.INV($C$11)-SQRT($D$3)*$A69)/SQRT(1-$D$3),TRUE),TRUE))</f>
        <v/>
      </c>
      <c r="H69">
        <f>IF($D$12=0,1,1-_xlfn.BINOM.DIST($D$12-1,$B$12,_xlfn.NORM.S.DIST((_xlfn.NORM.S.INV($C$12)-SQRT($D$3)*$A69)/SQRT(1-$D$3),TRUE),TRUE))</f>
        <v/>
      </c>
      <c r="I69">
        <f>IF($D$13=0,1,1-_xlfn.BINOM.DIST($D$13-1,$B$13,_xlfn.NORM.S.DIST((_xlfn.NORM.S.INV($C$13)-SQRT($D$3)*$A69)/SQRT(1-$D$3),TRUE),TRUE))</f>
        <v/>
      </c>
      <c r="J69">
        <f>IF($D$14=0,1,1-_xlfn.BINOM.DIST($D$14-1,$B$14,_xlfn.NORM.S.DIST((_xlfn.NORM.S.INV($C$14)-SQRT($D$3)*$A69)/SQRT(1-$D$3),TRUE),TRUE))</f>
        <v/>
      </c>
    </row>
    <row r="70">
      <c r="A70" t="n">
        <v>-3</v>
      </c>
      <c r="B70">
        <f>1.0*0.1*EXP(-(A70^2)/2)/SQRT(2*PI())</f>
        <v/>
      </c>
      <c r="C70">
        <f>IF($D$7=0,1,1-_xlfn.BINOM.DIST($D$7-1,$B$7,_xlfn.NORM.S.DIST((_xlfn.NORM.S.INV($C$7)-SQRT($D$3)*$A70)/SQRT(1-$D$3),TRUE),TRUE))</f>
        <v/>
      </c>
      <c r="D70">
        <f>IF($D$8=0,1,1-_xlfn.BINOM.DIST($D$8-1,$B$8,_xlfn.NORM.S.DIST((_xlfn.NORM.S.INV($C$8)-SQRT($D$3)*$A70)/SQRT(1-$D$3),TRUE),TRUE))</f>
        <v/>
      </c>
      <c r="E70">
        <f>IF($D$9=0,1,1-_xlfn.BINOM.DIST($D$9-1,$B$9,_xlfn.NORM.S.DIST((_xlfn.NORM.S.INV($C$9)-SQRT($D$3)*$A70)/SQRT(1-$D$3),TRUE),TRUE))</f>
        <v/>
      </c>
      <c r="F70">
        <f>IF($D$10=0,1,1-_xlfn.BINOM.DIST($D$10-1,$B$10,_xlfn.NORM.S.DIST((_xlfn.NORM.S.INV($C$10)-SQRT($D$3)*$A70)/SQRT(1-$D$3),TRUE),TRUE))</f>
        <v/>
      </c>
      <c r="G70">
        <f>IF($D$11=0,1,1-_xlfn.BINOM.DIST($D$11-1,$B$11,_xlfn.NORM.S.DIST((_xlfn.NORM.S.INV($C$11)-SQRT($D$3)*$A70)/SQRT(1-$D$3),TRUE),TRUE))</f>
        <v/>
      </c>
      <c r="H70">
        <f>IF($D$12=0,1,1-_xlfn.BINOM.DIST($D$12-1,$B$12,_xlfn.NORM.S.DIST((_xlfn.NORM.S.INV($C$12)-SQRT($D$3)*$A70)/SQRT(1-$D$3),TRUE),TRUE))</f>
        <v/>
      </c>
      <c r="I70">
        <f>IF($D$13=0,1,1-_xlfn.BINOM.DIST($D$13-1,$B$13,_xlfn.NORM.S.DIST((_xlfn.NORM.S.INV($C$13)-SQRT($D$3)*$A70)/SQRT(1-$D$3),TRUE),TRUE))</f>
        <v/>
      </c>
      <c r="J70">
        <f>IF($D$14=0,1,1-_xlfn.BINOM.DIST($D$14-1,$B$14,_xlfn.NORM.S.DIST((_xlfn.NORM.S.INV($C$14)-SQRT($D$3)*$A70)/SQRT(1-$D$3),TRUE),TRUE))</f>
        <v/>
      </c>
    </row>
    <row r="71">
      <c r="A71" t="n">
        <v>-2.9</v>
      </c>
      <c r="B71">
        <f>1.0*0.1*EXP(-(A71^2)/2)/SQRT(2*PI())</f>
        <v/>
      </c>
      <c r="C71">
        <f>IF($D$7=0,1,1-_xlfn.BINOM.DIST($D$7-1,$B$7,_xlfn.NORM.S.DIST((_xlfn.NORM.S.INV($C$7)-SQRT($D$3)*$A71)/SQRT(1-$D$3),TRUE),TRUE))</f>
        <v/>
      </c>
      <c r="D71">
        <f>IF($D$8=0,1,1-_xlfn.BINOM.DIST($D$8-1,$B$8,_xlfn.NORM.S.DIST((_xlfn.NORM.S.INV($C$8)-SQRT($D$3)*$A71)/SQRT(1-$D$3),TRUE),TRUE))</f>
        <v/>
      </c>
      <c r="E71">
        <f>IF($D$9=0,1,1-_xlfn.BINOM.DIST($D$9-1,$B$9,_xlfn.NORM.S.DIST((_xlfn.NORM.S.INV($C$9)-SQRT($D$3)*$A71)/SQRT(1-$D$3),TRUE),TRUE))</f>
        <v/>
      </c>
      <c r="F71">
        <f>IF($D$10=0,1,1-_xlfn.BINOM.DIST($D$10-1,$B$10,_xlfn.NORM.S.DIST((_xlfn.NORM.S.INV($C$10)-SQRT($D$3)*$A71)/SQRT(1-$D$3),TRUE),TRUE))</f>
        <v/>
      </c>
      <c r="G71">
        <f>IF($D$11=0,1,1-_xlfn.BINOM.DIST($D$11-1,$B$11,_xlfn.NORM.S.DIST((_xlfn.NORM.S.INV($C$11)-SQRT($D$3)*$A71)/SQRT(1-$D$3),TRUE),TRUE))</f>
        <v/>
      </c>
      <c r="H71">
        <f>IF($D$12=0,1,1-_xlfn.BINOM.DIST($D$12-1,$B$12,_xlfn.NORM.S.DIST((_xlfn.NORM.S.INV($C$12)-SQRT($D$3)*$A71)/SQRT(1-$D$3),TRUE),TRUE))</f>
        <v/>
      </c>
      <c r="I71">
        <f>IF($D$13=0,1,1-_xlfn.BINOM.DIST($D$13-1,$B$13,_xlfn.NORM.S.DIST((_xlfn.NORM.S.INV($C$13)-SQRT($D$3)*$A71)/SQRT(1-$D$3),TRUE),TRUE))</f>
        <v/>
      </c>
      <c r="J71">
        <f>IF($D$14=0,1,1-_xlfn.BINOM.DIST($D$14-1,$B$14,_xlfn.NORM.S.DIST((_xlfn.NORM.S.INV($C$14)-SQRT($D$3)*$A71)/SQRT(1-$D$3),TRUE),TRUE))</f>
        <v/>
      </c>
    </row>
    <row r="72">
      <c r="A72" t="n">
        <v>-2.8</v>
      </c>
      <c r="B72">
        <f>1.0*0.1*EXP(-(A72^2)/2)/SQRT(2*PI())</f>
        <v/>
      </c>
      <c r="C72">
        <f>IF($D$7=0,1,1-_xlfn.BINOM.DIST($D$7-1,$B$7,_xlfn.NORM.S.DIST((_xlfn.NORM.S.INV($C$7)-SQRT($D$3)*$A72)/SQRT(1-$D$3),TRUE),TRUE))</f>
        <v/>
      </c>
      <c r="D72">
        <f>IF($D$8=0,1,1-_xlfn.BINOM.DIST($D$8-1,$B$8,_xlfn.NORM.S.DIST((_xlfn.NORM.S.INV($C$8)-SQRT($D$3)*$A72)/SQRT(1-$D$3),TRUE),TRUE))</f>
        <v/>
      </c>
      <c r="E72">
        <f>IF($D$9=0,1,1-_xlfn.BINOM.DIST($D$9-1,$B$9,_xlfn.NORM.S.DIST((_xlfn.NORM.S.INV($C$9)-SQRT($D$3)*$A72)/SQRT(1-$D$3),TRUE),TRUE))</f>
        <v/>
      </c>
      <c r="F72">
        <f>IF($D$10=0,1,1-_xlfn.BINOM.DIST($D$10-1,$B$10,_xlfn.NORM.S.DIST((_xlfn.NORM.S.INV($C$10)-SQRT($D$3)*$A72)/SQRT(1-$D$3),TRUE),TRUE))</f>
        <v/>
      </c>
      <c r="G72">
        <f>IF($D$11=0,1,1-_xlfn.BINOM.DIST($D$11-1,$B$11,_xlfn.NORM.S.DIST((_xlfn.NORM.S.INV($C$11)-SQRT($D$3)*$A72)/SQRT(1-$D$3),TRUE),TRUE))</f>
        <v/>
      </c>
      <c r="H72">
        <f>IF($D$12=0,1,1-_xlfn.BINOM.DIST($D$12-1,$B$12,_xlfn.NORM.S.DIST((_xlfn.NORM.S.INV($C$12)-SQRT($D$3)*$A72)/SQRT(1-$D$3),TRUE),TRUE))</f>
        <v/>
      </c>
      <c r="I72">
        <f>IF($D$13=0,1,1-_xlfn.BINOM.DIST($D$13-1,$B$13,_xlfn.NORM.S.DIST((_xlfn.NORM.S.INV($C$13)-SQRT($D$3)*$A72)/SQRT(1-$D$3),TRUE),TRUE))</f>
        <v/>
      </c>
      <c r="J72">
        <f>IF($D$14=0,1,1-_xlfn.BINOM.DIST($D$14-1,$B$14,_xlfn.NORM.S.DIST((_xlfn.NORM.S.INV($C$14)-SQRT($D$3)*$A72)/SQRT(1-$D$3),TRUE),TRUE))</f>
        <v/>
      </c>
    </row>
    <row r="73">
      <c r="A73" t="n">
        <v>-2.7</v>
      </c>
      <c r="B73">
        <f>1.0*0.1*EXP(-(A73^2)/2)/SQRT(2*PI())</f>
        <v/>
      </c>
      <c r="C73">
        <f>IF($D$7=0,1,1-_xlfn.BINOM.DIST($D$7-1,$B$7,_xlfn.NORM.S.DIST((_xlfn.NORM.S.INV($C$7)-SQRT($D$3)*$A73)/SQRT(1-$D$3),TRUE),TRUE))</f>
        <v/>
      </c>
      <c r="D73">
        <f>IF($D$8=0,1,1-_xlfn.BINOM.DIST($D$8-1,$B$8,_xlfn.NORM.S.DIST((_xlfn.NORM.S.INV($C$8)-SQRT($D$3)*$A73)/SQRT(1-$D$3),TRUE),TRUE))</f>
        <v/>
      </c>
      <c r="E73">
        <f>IF($D$9=0,1,1-_xlfn.BINOM.DIST($D$9-1,$B$9,_xlfn.NORM.S.DIST((_xlfn.NORM.S.INV($C$9)-SQRT($D$3)*$A73)/SQRT(1-$D$3),TRUE),TRUE))</f>
        <v/>
      </c>
      <c r="F73">
        <f>IF($D$10=0,1,1-_xlfn.BINOM.DIST($D$10-1,$B$10,_xlfn.NORM.S.DIST((_xlfn.NORM.S.INV($C$10)-SQRT($D$3)*$A73)/SQRT(1-$D$3),TRUE),TRUE))</f>
        <v/>
      </c>
      <c r="G73">
        <f>IF($D$11=0,1,1-_xlfn.BINOM.DIST($D$11-1,$B$11,_xlfn.NORM.S.DIST((_xlfn.NORM.S.INV($C$11)-SQRT($D$3)*$A73)/SQRT(1-$D$3),TRUE),TRUE))</f>
        <v/>
      </c>
      <c r="H73">
        <f>IF($D$12=0,1,1-_xlfn.BINOM.DIST($D$12-1,$B$12,_xlfn.NORM.S.DIST((_xlfn.NORM.S.INV($C$12)-SQRT($D$3)*$A73)/SQRT(1-$D$3),TRUE),TRUE))</f>
        <v/>
      </c>
      <c r="I73">
        <f>IF($D$13=0,1,1-_xlfn.BINOM.DIST($D$13-1,$B$13,_xlfn.NORM.S.DIST((_xlfn.NORM.S.INV($C$13)-SQRT($D$3)*$A73)/SQRT(1-$D$3),TRUE),TRUE))</f>
        <v/>
      </c>
      <c r="J73">
        <f>IF($D$14=0,1,1-_xlfn.BINOM.DIST($D$14-1,$B$14,_xlfn.NORM.S.DIST((_xlfn.NORM.S.INV($C$14)-SQRT($D$3)*$A73)/SQRT(1-$D$3),TRUE),TRUE))</f>
        <v/>
      </c>
    </row>
    <row r="74">
      <c r="A74" t="n">
        <v>-2.6</v>
      </c>
      <c r="B74">
        <f>1.0*0.1*EXP(-(A74^2)/2)/SQRT(2*PI())</f>
        <v/>
      </c>
      <c r="C74">
        <f>IF($D$7=0,1,1-_xlfn.BINOM.DIST($D$7-1,$B$7,_xlfn.NORM.S.DIST((_xlfn.NORM.S.INV($C$7)-SQRT($D$3)*$A74)/SQRT(1-$D$3),TRUE),TRUE))</f>
        <v/>
      </c>
      <c r="D74">
        <f>IF($D$8=0,1,1-_xlfn.BINOM.DIST($D$8-1,$B$8,_xlfn.NORM.S.DIST((_xlfn.NORM.S.INV($C$8)-SQRT($D$3)*$A74)/SQRT(1-$D$3),TRUE),TRUE))</f>
        <v/>
      </c>
      <c r="E74">
        <f>IF($D$9=0,1,1-_xlfn.BINOM.DIST($D$9-1,$B$9,_xlfn.NORM.S.DIST((_xlfn.NORM.S.INV($C$9)-SQRT($D$3)*$A74)/SQRT(1-$D$3),TRUE),TRUE))</f>
        <v/>
      </c>
      <c r="F74">
        <f>IF($D$10=0,1,1-_xlfn.BINOM.DIST($D$10-1,$B$10,_xlfn.NORM.S.DIST((_xlfn.NORM.S.INV($C$10)-SQRT($D$3)*$A74)/SQRT(1-$D$3),TRUE),TRUE))</f>
        <v/>
      </c>
      <c r="G74">
        <f>IF($D$11=0,1,1-_xlfn.BINOM.DIST($D$11-1,$B$11,_xlfn.NORM.S.DIST((_xlfn.NORM.S.INV($C$11)-SQRT($D$3)*$A74)/SQRT(1-$D$3),TRUE),TRUE))</f>
        <v/>
      </c>
      <c r="H74">
        <f>IF($D$12=0,1,1-_xlfn.BINOM.DIST($D$12-1,$B$12,_xlfn.NORM.S.DIST((_xlfn.NORM.S.INV($C$12)-SQRT($D$3)*$A74)/SQRT(1-$D$3),TRUE),TRUE))</f>
        <v/>
      </c>
      <c r="I74">
        <f>IF($D$13=0,1,1-_xlfn.BINOM.DIST($D$13-1,$B$13,_xlfn.NORM.S.DIST((_xlfn.NORM.S.INV($C$13)-SQRT($D$3)*$A74)/SQRT(1-$D$3),TRUE),TRUE))</f>
        <v/>
      </c>
      <c r="J74">
        <f>IF($D$14=0,1,1-_xlfn.BINOM.DIST($D$14-1,$B$14,_xlfn.NORM.S.DIST((_xlfn.NORM.S.INV($C$14)-SQRT($D$3)*$A74)/SQRT(1-$D$3),TRUE),TRUE))</f>
        <v/>
      </c>
    </row>
    <row r="75">
      <c r="A75" t="n">
        <v>-2.5</v>
      </c>
      <c r="B75">
        <f>1.0*0.1*EXP(-(A75^2)/2)/SQRT(2*PI())</f>
        <v/>
      </c>
      <c r="C75">
        <f>IF($D$7=0,1,1-_xlfn.BINOM.DIST($D$7-1,$B$7,_xlfn.NORM.S.DIST((_xlfn.NORM.S.INV($C$7)-SQRT($D$3)*$A75)/SQRT(1-$D$3),TRUE),TRUE))</f>
        <v/>
      </c>
      <c r="D75">
        <f>IF($D$8=0,1,1-_xlfn.BINOM.DIST($D$8-1,$B$8,_xlfn.NORM.S.DIST((_xlfn.NORM.S.INV($C$8)-SQRT($D$3)*$A75)/SQRT(1-$D$3),TRUE),TRUE))</f>
        <v/>
      </c>
      <c r="E75">
        <f>IF($D$9=0,1,1-_xlfn.BINOM.DIST($D$9-1,$B$9,_xlfn.NORM.S.DIST((_xlfn.NORM.S.INV($C$9)-SQRT($D$3)*$A75)/SQRT(1-$D$3),TRUE),TRUE))</f>
        <v/>
      </c>
      <c r="F75">
        <f>IF($D$10=0,1,1-_xlfn.BINOM.DIST($D$10-1,$B$10,_xlfn.NORM.S.DIST((_xlfn.NORM.S.INV($C$10)-SQRT($D$3)*$A75)/SQRT(1-$D$3),TRUE),TRUE))</f>
        <v/>
      </c>
      <c r="G75">
        <f>IF($D$11=0,1,1-_xlfn.BINOM.DIST($D$11-1,$B$11,_xlfn.NORM.S.DIST((_xlfn.NORM.S.INV($C$11)-SQRT($D$3)*$A75)/SQRT(1-$D$3),TRUE),TRUE))</f>
        <v/>
      </c>
      <c r="H75">
        <f>IF($D$12=0,1,1-_xlfn.BINOM.DIST($D$12-1,$B$12,_xlfn.NORM.S.DIST((_xlfn.NORM.S.INV($C$12)-SQRT($D$3)*$A75)/SQRT(1-$D$3),TRUE),TRUE))</f>
        <v/>
      </c>
      <c r="I75">
        <f>IF($D$13=0,1,1-_xlfn.BINOM.DIST($D$13-1,$B$13,_xlfn.NORM.S.DIST((_xlfn.NORM.S.INV($C$13)-SQRT($D$3)*$A75)/SQRT(1-$D$3),TRUE),TRUE))</f>
        <v/>
      </c>
      <c r="J75">
        <f>IF($D$14=0,1,1-_xlfn.BINOM.DIST($D$14-1,$B$14,_xlfn.NORM.S.DIST((_xlfn.NORM.S.INV($C$14)-SQRT($D$3)*$A75)/SQRT(1-$D$3),TRUE),TRUE))</f>
        <v/>
      </c>
    </row>
    <row r="76">
      <c r="A76" t="n">
        <v>-2.4</v>
      </c>
      <c r="B76">
        <f>1.0*0.1*EXP(-(A76^2)/2)/SQRT(2*PI())</f>
        <v/>
      </c>
      <c r="C76">
        <f>IF($D$7=0,1,1-_xlfn.BINOM.DIST($D$7-1,$B$7,_xlfn.NORM.S.DIST((_xlfn.NORM.S.INV($C$7)-SQRT($D$3)*$A76)/SQRT(1-$D$3),TRUE),TRUE))</f>
        <v/>
      </c>
      <c r="D76">
        <f>IF($D$8=0,1,1-_xlfn.BINOM.DIST($D$8-1,$B$8,_xlfn.NORM.S.DIST((_xlfn.NORM.S.INV($C$8)-SQRT($D$3)*$A76)/SQRT(1-$D$3),TRUE),TRUE))</f>
        <v/>
      </c>
      <c r="E76">
        <f>IF($D$9=0,1,1-_xlfn.BINOM.DIST($D$9-1,$B$9,_xlfn.NORM.S.DIST((_xlfn.NORM.S.INV($C$9)-SQRT($D$3)*$A76)/SQRT(1-$D$3),TRUE),TRUE))</f>
        <v/>
      </c>
      <c r="F76">
        <f>IF($D$10=0,1,1-_xlfn.BINOM.DIST($D$10-1,$B$10,_xlfn.NORM.S.DIST((_xlfn.NORM.S.INV($C$10)-SQRT($D$3)*$A76)/SQRT(1-$D$3),TRUE),TRUE))</f>
        <v/>
      </c>
      <c r="G76">
        <f>IF($D$11=0,1,1-_xlfn.BINOM.DIST($D$11-1,$B$11,_xlfn.NORM.S.DIST((_xlfn.NORM.S.INV($C$11)-SQRT($D$3)*$A76)/SQRT(1-$D$3),TRUE),TRUE))</f>
        <v/>
      </c>
      <c r="H76">
        <f>IF($D$12=0,1,1-_xlfn.BINOM.DIST($D$12-1,$B$12,_xlfn.NORM.S.DIST((_xlfn.NORM.S.INV($C$12)-SQRT($D$3)*$A76)/SQRT(1-$D$3),TRUE),TRUE))</f>
        <v/>
      </c>
      <c r="I76">
        <f>IF($D$13=0,1,1-_xlfn.BINOM.DIST($D$13-1,$B$13,_xlfn.NORM.S.DIST((_xlfn.NORM.S.INV($C$13)-SQRT($D$3)*$A76)/SQRT(1-$D$3),TRUE),TRUE))</f>
        <v/>
      </c>
      <c r="J76">
        <f>IF($D$14=0,1,1-_xlfn.BINOM.DIST($D$14-1,$B$14,_xlfn.NORM.S.DIST((_xlfn.NORM.S.INV($C$14)-SQRT($D$3)*$A76)/SQRT(1-$D$3),TRUE),TRUE))</f>
        <v/>
      </c>
    </row>
    <row r="77">
      <c r="A77" t="n">
        <v>-2.3</v>
      </c>
      <c r="B77">
        <f>1.0*0.1*EXP(-(A77^2)/2)/SQRT(2*PI())</f>
        <v/>
      </c>
      <c r="C77">
        <f>IF($D$7=0,1,1-_xlfn.BINOM.DIST($D$7-1,$B$7,_xlfn.NORM.S.DIST((_xlfn.NORM.S.INV($C$7)-SQRT($D$3)*$A77)/SQRT(1-$D$3),TRUE),TRUE))</f>
        <v/>
      </c>
      <c r="D77">
        <f>IF($D$8=0,1,1-_xlfn.BINOM.DIST($D$8-1,$B$8,_xlfn.NORM.S.DIST((_xlfn.NORM.S.INV($C$8)-SQRT($D$3)*$A77)/SQRT(1-$D$3),TRUE),TRUE))</f>
        <v/>
      </c>
      <c r="E77">
        <f>IF($D$9=0,1,1-_xlfn.BINOM.DIST($D$9-1,$B$9,_xlfn.NORM.S.DIST((_xlfn.NORM.S.INV($C$9)-SQRT($D$3)*$A77)/SQRT(1-$D$3),TRUE),TRUE))</f>
        <v/>
      </c>
      <c r="F77">
        <f>IF($D$10=0,1,1-_xlfn.BINOM.DIST($D$10-1,$B$10,_xlfn.NORM.S.DIST((_xlfn.NORM.S.INV($C$10)-SQRT($D$3)*$A77)/SQRT(1-$D$3),TRUE),TRUE))</f>
        <v/>
      </c>
      <c r="G77">
        <f>IF($D$11=0,1,1-_xlfn.BINOM.DIST($D$11-1,$B$11,_xlfn.NORM.S.DIST((_xlfn.NORM.S.INV($C$11)-SQRT($D$3)*$A77)/SQRT(1-$D$3),TRUE),TRUE))</f>
        <v/>
      </c>
      <c r="H77">
        <f>IF($D$12=0,1,1-_xlfn.BINOM.DIST($D$12-1,$B$12,_xlfn.NORM.S.DIST((_xlfn.NORM.S.INV($C$12)-SQRT($D$3)*$A77)/SQRT(1-$D$3),TRUE),TRUE))</f>
        <v/>
      </c>
      <c r="I77">
        <f>IF($D$13=0,1,1-_xlfn.BINOM.DIST($D$13-1,$B$13,_xlfn.NORM.S.DIST((_xlfn.NORM.S.INV($C$13)-SQRT($D$3)*$A77)/SQRT(1-$D$3),TRUE),TRUE))</f>
        <v/>
      </c>
      <c r="J77">
        <f>IF($D$14=0,1,1-_xlfn.BINOM.DIST($D$14-1,$B$14,_xlfn.NORM.S.DIST((_xlfn.NORM.S.INV($C$14)-SQRT($D$3)*$A77)/SQRT(1-$D$3),TRUE),TRUE))</f>
        <v/>
      </c>
    </row>
    <row r="78">
      <c r="A78" t="n">
        <v>-2.2</v>
      </c>
      <c r="B78">
        <f>1.0*0.1*EXP(-(A78^2)/2)/SQRT(2*PI())</f>
        <v/>
      </c>
      <c r="C78">
        <f>IF($D$7=0,1,1-_xlfn.BINOM.DIST($D$7-1,$B$7,_xlfn.NORM.S.DIST((_xlfn.NORM.S.INV($C$7)-SQRT($D$3)*$A78)/SQRT(1-$D$3),TRUE),TRUE))</f>
        <v/>
      </c>
      <c r="D78">
        <f>IF($D$8=0,1,1-_xlfn.BINOM.DIST($D$8-1,$B$8,_xlfn.NORM.S.DIST((_xlfn.NORM.S.INV($C$8)-SQRT($D$3)*$A78)/SQRT(1-$D$3),TRUE),TRUE))</f>
        <v/>
      </c>
      <c r="E78">
        <f>IF($D$9=0,1,1-_xlfn.BINOM.DIST($D$9-1,$B$9,_xlfn.NORM.S.DIST((_xlfn.NORM.S.INV($C$9)-SQRT($D$3)*$A78)/SQRT(1-$D$3),TRUE),TRUE))</f>
        <v/>
      </c>
      <c r="F78">
        <f>IF($D$10=0,1,1-_xlfn.BINOM.DIST($D$10-1,$B$10,_xlfn.NORM.S.DIST((_xlfn.NORM.S.INV($C$10)-SQRT($D$3)*$A78)/SQRT(1-$D$3),TRUE),TRUE))</f>
        <v/>
      </c>
      <c r="G78">
        <f>IF($D$11=0,1,1-_xlfn.BINOM.DIST($D$11-1,$B$11,_xlfn.NORM.S.DIST((_xlfn.NORM.S.INV($C$11)-SQRT($D$3)*$A78)/SQRT(1-$D$3),TRUE),TRUE))</f>
        <v/>
      </c>
      <c r="H78">
        <f>IF($D$12=0,1,1-_xlfn.BINOM.DIST($D$12-1,$B$12,_xlfn.NORM.S.DIST((_xlfn.NORM.S.INV($C$12)-SQRT($D$3)*$A78)/SQRT(1-$D$3),TRUE),TRUE))</f>
        <v/>
      </c>
      <c r="I78">
        <f>IF($D$13=0,1,1-_xlfn.BINOM.DIST($D$13-1,$B$13,_xlfn.NORM.S.DIST((_xlfn.NORM.S.INV($C$13)-SQRT($D$3)*$A78)/SQRT(1-$D$3),TRUE),TRUE))</f>
        <v/>
      </c>
      <c r="J78">
        <f>IF($D$14=0,1,1-_xlfn.BINOM.DIST($D$14-1,$B$14,_xlfn.NORM.S.DIST((_xlfn.NORM.S.INV($C$14)-SQRT($D$3)*$A78)/SQRT(1-$D$3),TRUE),TRUE))</f>
        <v/>
      </c>
    </row>
    <row r="79">
      <c r="A79" t="n">
        <v>-2.1</v>
      </c>
      <c r="B79">
        <f>1.0*0.1*EXP(-(A79^2)/2)/SQRT(2*PI())</f>
        <v/>
      </c>
      <c r="C79">
        <f>IF($D$7=0,1,1-_xlfn.BINOM.DIST($D$7-1,$B$7,_xlfn.NORM.S.DIST((_xlfn.NORM.S.INV($C$7)-SQRT($D$3)*$A79)/SQRT(1-$D$3),TRUE),TRUE))</f>
        <v/>
      </c>
      <c r="D79">
        <f>IF($D$8=0,1,1-_xlfn.BINOM.DIST($D$8-1,$B$8,_xlfn.NORM.S.DIST((_xlfn.NORM.S.INV($C$8)-SQRT($D$3)*$A79)/SQRT(1-$D$3),TRUE),TRUE))</f>
        <v/>
      </c>
      <c r="E79">
        <f>IF($D$9=0,1,1-_xlfn.BINOM.DIST($D$9-1,$B$9,_xlfn.NORM.S.DIST((_xlfn.NORM.S.INV($C$9)-SQRT($D$3)*$A79)/SQRT(1-$D$3),TRUE),TRUE))</f>
        <v/>
      </c>
      <c r="F79">
        <f>IF($D$10=0,1,1-_xlfn.BINOM.DIST($D$10-1,$B$10,_xlfn.NORM.S.DIST((_xlfn.NORM.S.INV($C$10)-SQRT($D$3)*$A79)/SQRT(1-$D$3),TRUE),TRUE))</f>
        <v/>
      </c>
      <c r="G79">
        <f>IF($D$11=0,1,1-_xlfn.BINOM.DIST($D$11-1,$B$11,_xlfn.NORM.S.DIST((_xlfn.NORM.S.INV($C$11)-SQRT($D$3)*$A79)/SQRT(1-$D$3),TRUE),TRUE))</f>
        <v/>
      </c>
      <c r="H79">
        <f>IF($D$12=0,1,1-_xlfn.BINOM.DIST($D$12-1,$B$12,_xlfn.NORM.S.DIST((_xlfn.NORM.S.INV($C$12)-SQRT($D$3)*$A79)/SQRT(1-$D$3),TRUE),TRUE))</f>
        <v/>
      </c>
      <c r="I79">
        <f>IF($D$13=0,1,1-_xlfn.BINOM.DIST($D$13-1,$B$13,_xlfn.NORM.S.DIST((_xlfn.NORM.S.INV($C$13)-SQRT($D$3)*$A79)/SQRT(1-$D$3),TRUE),TRUE))</f>
        <v/>
      </c>
      <c r="J79">
        <f>IF($D$14=0,1,1-_xlfn.BINOM.DIST($D$14-1,$B$14,_xlfn.NORM.S.DIST((_xlfn.NORM.S.INV($C$14)-SQRT($D$3)*$A79)/SQRT(1-$D$3),TRUE),TRUE))</f>
        <v/>
      </c>
    </row>
    <row r="80">
      <c r="A80" t="n">
        <v>-2</v>
      </c>
      <c r="B80">
        <f>1.0*0.1*EXP(-(A80^2)/2)/SQRT(2*PI())</f>
        <v/>
      </c>
      <c r="C80">
        <f>IF($D$7=0,1,1-_xlfn.BINOM.DIST($D$7-1,$B$7,_xlfn.NORM.S.DIST((_xlfn.NORM.S.INV($C$7)-SQRT($D$3)*$A80)/SQRT(1-$D$3),TRUE),TRUE))</f>
        <v/>
      </c>
      <c r="D80">
        <f>IF($D$8=0,1,1-_xlfn.BINOM.DIST($D$8-1,$B$8,_xlfn.NORM.S.DIST((_xlfn.NORM.S.INV($C$8)-SQRT($D$3)*$A80)/SQRT(1-$D$3),TRUE),TRUE))</f>
        <v/>
      </c>
      <c r="E80">
        <f>IF($D$9=0,1,1-_xlfn.BINOM.DIST($D$9-1,$B$9,_xlfn.NORM.S.DIST((_xlfn.NORM.S.INV($C$9)-SQRT($D$3)*$A80)/SQRT(1-$D$3),TRUE),TRUE))</f>
        <v/>
      </c>
      <c r="F80">
        <f>IF($D$10=0,1,1-_xlfn.BINOM.DIST($D$10-1,$B$10,_xlfn.NORM.S.DIST((_xlfn.NORM.S.INV($C$10)-SQRT($D$3)*$A80)/SQRT(1-$D$3),TRUE),TRUE))</f>
        <v/>
      </c>
      <c r="G80">
        <f>IF($D$11=0,1,1-_xlfn.BINOM.DIST($D$11-1,$B$11,_xlfn.NORM.S.DIST((_xlfn.NORM.S.INV($C$11)-SQRT($D$3)*$A80)/SQRT(1-$D$3),TRUE),TRUE))</f>
        <v/>
      </c>
      <c r="H80">
        <f>IF($D$12=0,1,1-_xlfn.BINOM.DIST($D$12-1,$B$12,_xlfn.NORM.S.DIST((_xlfn.NORM.S.INV($C$12)-SQRT($D$3)*$A80)/SQRT(1-$D$3),TRUE),TRUE))</f>
        <v/>
      </c>
      <c r="I80">
        <f>IF($D$13=0,1,1-_xlfn.BINOM.DIST($D$13-1,$B$13,_xlfn.NORM.S.DIST((_xlfn.NORM.S.INV($C$13)-SQRT($D$3)*$A80)/SQRT(1-$D$3),TRUE),TRUE))</f>
        <v/>
      </c>
      <c r="J80">
        <f>IF($D$14=0,1,1-_xlfn.BINOM.DIST($D$14-1,$B$14,_xlfn.NORM.S.DIST((_xlfn.NORM.S.INV($C$14)-SQRT($D$3)*$A80)/SQRT(1-$D$3),TRUE),TRUE))</f>
        <v/>
      </c>
    </row>
    <row r="81">
      <c r="A81" t="n">
        <v>-1.9</v>
      </c>
      <c r="B81">
        <f>1.0*0.1*EXP(-(A81^2)/2)/SQRT(2*PI())</f>
        <v/>
      </c>
      <c r="C81">
        <f>IF($D$7=0,1,1-_xlfn.BINOM.DIST($D$7-1,$B$7,_xlfn.NORM.S.DIST((_xlfn.NORM.S.INV($C$7)-SQRT($D$3)*$A81)/SQRT(1-$D$3),TRUE),TRUE))</f>
        <v/>
      </c>
      <c r="D81">
        <f>IF($D$8=0,1,1-_xlfn.BINOM.DIST($D$8-1,$B$8,_xlfn.NORM.S.DIST((_xlfn.NORM.S.INV($C$8)-SQRT($D$3)*$A81)/SQRT(1-$D$3),TRUE),TRUE))</f>
        <v/>
      </c>
      <c r="E81">
        <f>IF($D$9=0,1,1-_xlfn.BINOM.DIST($D$9-1,$B$9,_xlfn.NORM.S.DIST((_xlfn.NORM.S.INV($C$9)-SQRT($D$3)*$A81)/SQRT(1-$D$3),TRUE),TRUE))</f>
        <v/>
      </c>
      <c r="F81">
        <f>IF($D$10=0,1,1-_xlfn.BINOM.DIST($D$10-1,$B$10,_xlfn.NORM.S.DIST((_xlfn.NORM.S.INV($C$10)-SQRT($D$3)*$A81)/SQRT(1-$D$3),TRUE),TRUE))</f>
        <v/>
      </c>
      <c r="G81">
        <f>IF($D$11=0,1,1-_xlfn.BINOM.DIST($D$11-1,$B$11,_xlfn.NORM.S.DIST((_xlfn.NORM.S.INV($C$11)-SQRT($D$3)*$A81)/SQRT(1-$D$3),TRUE),TRUE))</f>
        <v/>
      </c>
      <c r="H81">
        <f>IF($D$12=0,1,1-_xlfn.BINOM.DIST($D$12-1,$B$12,_xlfn.NORM.S.DIST((_xlfn.NORM.S.INV($C$12)-SQRT($D$3)*$A81)/SQRT(1-$D$3),TRUE),TRUE))</f>
        <v/>
      </c>
      <c r="I81">
        <f>IF($D$13=0,1,1-_xlfn.BINOM.DIST($D$13-1,$B$13,_xlfn.NORM.S.DIST((_xlfn.NORM.S.INV($C$13)-SQRT($D$3)*$A81)/SQRT(1-$D$3),TRUE),TRUE))</f>
        <v/>
      </c>
      <c r="J81">
        <f>IF($D$14=0,1,1-_xlfn.BINOM.DIST($D$14-1,$B$14,_xlfn.NORM.S.DIST((_xlfn.NORM.S.INV($C$14)-SQRT($D$3)*$A81)/SQRT(1-$D$3),TRUE),TRUE))</f>
        <v/>
      </c>
    </row>
    <row r="82">
      <c r="A82" t="n">
        <v>-1.8</v>
      </c>
      <c r="B82">
        <f>1.0*0.1*EXP(-(A82^2)/2)/SQRT(2*PI())</f>
        <v/>
      </c>
      <c r="C82">
        <f>IF($D$7=0,1,1-_xlfn.BINOM.DIST($D$7-1,$B$7,_xlfn.NORM.S.DIST((_xlfn.NORM.S.INV($C$7)-SQRT($D$3)*$A82)/SQRT(1-$D$3),TRUE),TRUE))</f>
        <v/>
      </c>
      <c r="D82">
        <f>IF($D$8=0,1,1-_xlfn.BINOM.DIST($D$8-1,$B$8,_xlfn.NORM.S.DIST((_xlfn.NORM.S.INV($C$8)-SQRT($D$3)*$A82)/SQRT(1-$D$3),TRUE),TRUE))</f>
        <v/>
      </c>
      <c r="E82">
        <f>IF($D$9=0,1,1-_xlfn.BINOM.DIST($D$9-1,$B$9,_xlfn.NORM.S.DIST((_xlfn.NORM.S.INV($C$9)-SQRT($D$3)*$A82)/SQRT(1-$D$3),TRUE),TRUE))</f>
        <v/>
      </c>
      <c r="F82">
        <f>IF($D$10=0,1,1-_xlfn.BINOM.DIST($D$10-1,$B$10,_xlfn.NORM.S.DIST((_xlfn.NORM.S.INV($C$10)-SQRT($D$3)*$A82)/SQRT(1-$D$3),TRUE),TRUE))</f>
        <v/>
      </c>
      <c r="G82">
        <f>IF($D$11=0,1,1-_xlfn.BINOM.DIST($D$11-1,$B$11,_xlfn.NORM.S.DIST((_xlfn.NORM.S.INV($C$11)-SQRT($D$3)*$A82)/SQRT(1-$D$3),TRUE),TRUE))</f>
        <v/>
      </c>
      <c r="H82">
        <f>IF($D$12=0,1,1-_xlfn.BINOM.DIST($D$12-1,$B$12,_xlfn.NORM.S.DIST((_xlfn.NORM.S.INV($C$12)-SQRT($D$3)*$A82)/SQRT(1-$D$3),TRUE),TRUE))</f>
        <v/>
      </c>
      <c r="I82">
        <f>IF($D$13=0,1,1-_xlfn.BINOM.DIST($D$13-1,$B$13,_xlfn.NORM.S.DIST((_xlfn.NORM.S.INV($C$13)-SQRT($D$3)*$A82)/SQRT(1-$D$3),TRUE),TRUE))</f>
        <v/>
      </c>
      <c r="J82">
        <f>IF($D$14=0,1,1-_xlfn.BINOM.DIST($D$14-1,$B$14,_xlfn.NORM.S.DIST((_xlfn.NORM.S.INV($C$14)-SQRT($D$3)*$A82)/SQRT(1-$D$3),TRUE),TRUE))</f>
        <v/>
      </c>
    </row>
    <row r="83">
      <c r="A83" t="n">
        <v>-1.7</v>
      </c>
      <c r="B83">
        <f>1.0*0.1*EXP(-(A83^2)/2)/SQRT(2*PI())</f>
        <v/>
      </c>
      <c r="C83">
        <f>IF($D$7=0,1,1-_xlfn.BINOM.DIST($D$7-1,$B$7,_xlfn.NORM.S.DIST((_xlfn.NORM.S.INV($C$7)-SQRT($D$3)*$A83)/SQRT(1-$D$3),TRUE),TRUE))</f>
        <v/>
      </c>
      <c r="D83">
        <f>IF($D$8=0,1,1-_xlfn.BINOM.DIST($D$8-1,$B$8,_xlfn.NORM.S.DIST((_xlfn.NORM.S.INV($C$8)-SQRT($D$3)*$A83)/SQRT(1-$D$3),TRUE),TRUE))</f>
        <v/>
      </c>
      <c r="E83">
        <f>IF($D$9=0,1,1-_xlfn.BINOM.DIST($D$9-1,$B$9,_xlfn.NORM.S.DIST((_xlfn.NORM.S.INV($C$9)-SQRT($D$3)*$A83)/SQRT(1-$D$3),TRUE),TRUE))</f>
        <v/>
      </c>
      <c r="F83">
        <f>IF($D$10=0,1,1-_xlfn.BINOM.DIST($D$10-1,$B$10,_xlfn.NORM.S.DIST((_xlfn.NORM.S.INV($C$10)-SQRT($D$3)*$A83)/SQRT(1-$D$3),TRUE),TRUE))</f>
        <v/>
      </c>
      <c r="G83">
        <f>IF($D$11=0,1,1-_xlfn.BINOM.DIST($D$11-1,$B$11,_xlfn.NORM.S.DIST((_xlfn.NORM.S.INV($C$11)-SQRT($D$3)*$A83)/SQRT(1-$D$3),TRUE),TRUE))</f>
        <v/>
      </c>
      <c r="H83">
        <f>IF($D$12=0,1,1-_xlfn.BINOM.DIST($D$12-1,$B$12,_xlfn.NORM.S.DIST((_xlfn.NORM.S.INV($C$12)-SQRT($D$3)*$A83)/SQRT(1-$D$3),TRUE),TRUE))</f>
        <v/>
      </c>
      <c r="I83">
        <f>IF($D$13=0,1,1-_xlfn.BINOM.DIST($D$13-1,$B$13,_xlfn.NORM.S.DIST((_xlfn.NORM.S.INV($C$13)-SQRT($D$3)*$A83)/SQRT(1-$D$3),TRUE),TRUE))</f>
        <v/>
      </c>
      <c r="J83">
        <f>IF($D$14=0,1,1-_xlfn.BINOM.DIST($D$14-1,$B$14,_xlfn.NORM.S.DIST((_xlfn.NORM.S.INV($C$14)-SQRT($D$3)*$A83)/SQRT(1-$D$3),TRUE),TRUE))</f>
        <v/>
      </c>
    </row>
    <row r="84">
      <c r="A84" t="n">
        <v>-1.6</v>
      </c>
      <c r="B84">
        <f>1.0*0.1*EXP(-(A84^2)/2)/SQRT(2*PI())</f>
        <v/>
      </c>
      <c r="C84">
        <f>IF($D$7=0,1,1-_xlfn.BINOM.DIST($D$7-1,$B$7,_xlfn.NORM.S.DIST((_xlfn.NORM.S.INV($C$7)-SQRT($D$3)*$A84)/SQRT(1-$D$3),TRUE),TRUE))</f>
        <v/>
      </c>
      <c r="D84">
        <f>IF($D$8=0,1,1-_xlfn.BINOM.DIST($D$8-1,$B$8,_xlfn.NORM.S.DIST((_xlfn.NORM.S.INV($C$8)-SQRT($D$3)*$A84)/SQRT(1-$D$3),TRUE),TRUE))</f>
        <v/>
      </c>
      <c r="E84">
        <f>IF($D$9=0,1,1-_xlfn.BINOM.DIST($D$9-1,$B$9,_xlfn.NORM.S.DIST((_xlfn.NORM.S.INV($C$9)-SQRT($D$3)*$A84)/SQRT(1-$D$3),TRUE),TRUE))</f>
        <v/>
      </c>
      <c r="F84">
        <f>IF($D$10=0,1,1-_xlfn.BINOM.DIST($D$10-1,$B$10,_xlfn.NORM.S.DIST((_xlfn.NORM.S.INV($C$10)-SQRT($D$3)*$A84)/SQRT(1-$D$3),TRUE),TRUE))</f>
        <v/>
      </c>
      <c r="G84">
        <f>IF($D$11=0,1,1-_xlfn.BINOM.DIST($D$11-1,$B$11,_xlfn.NORM.S.DIST((_xlfn.NORM.S.INV($C$11)-SQRT($D$3)*$A84)/SQRT(1-$D$3),TRUE),TRUE))</f>
        <v/>
      </c>
      <c r="H84">
        <f>IF($D$12=0,1,1-_xlfn.BINOM.DIST($D$12-1,$B$12,_xlfn.NORM.S.DIST((_xlfn.NORM.S.INV($C$12)-SQRT($D$3)*$A84)/SQRT(1-$D$3),TRUE),TRUE))</f>
        <v/>
      </c>
      <c r="I84">
        <f>IF($D$13=0,1,1-_xlfn.BINOM.DIST($D$13-1,$B$13,_xlfn.NORM.S.DIST((_xlfn.NORM.S.INV($C$13)-SQRT($D$3)*$A84)/SQRT(1-$D$3),TRUE),TRUE))</f>
        <v/>
      </c>
      <c r="J84">
        <f>IF($D$14=0,1,1-_xlfn.BINOM.DIST($D$14-1,$B$14,_xlfn.NORM.S.DIST((_xlfn.NORM.S.INV($C$14)-SQRT($D$3)*$A84)/SQRT(1-$D$3),TRUE),TRUE))</f>
        <v/>
      </c>
    </row>
    <row r="85">
      <c r="A85" t="n">
        <v>-1.5</v>
      </c>
      <c r="B85">
        <f>1.0*0.1*EXP(-(A85^2)/2)/SQRT(2*PI())</f>
        <v/>
      </c>
      <c r="C85">
        <f>IF($D$7=0,1,1-_xlfn.BINOM.DIST($D$7-1,$B$7,_xlfn.NORM.S.DIST((_xlfn.NORM.S.INV($C$7)-SQRT($D$3)*$A85)/SQRT(1-$D$3),TRUE),TRUE))</f>
        <v/>
      </c>
      <c r="D85">
        <f>IF($D$8=0,1,1-_xlfn.BINOM.DIST($D$8-1,$B$8,_xlfn.NORM.S.DIST((_xlfn.NORM.S.INV($C$8)-SQRT($D$3)*$A85)/SQRT(1-$D$3),TRUE),TRUE))</f>
        <v/>
      </c>
      <c r="E85">
        <f>IF($D$9=0,1,1-_xlfn.BINOM.DIST($D$9-1,$B$9,_xlfn.NORM.S.DIST((_xlfn.NORM.S.INV($C$9)-SQRT($D$3)*$A85)/SQRT(1-$D$3),TRUE),TRUE))</f>
        <v/>
      </c>
      <c r="F85">
        <f>IF($D$10=0,1,1-_xlfn.BINOM.DIST($D$10-1,$B$10,_xlfn.NORM.S.DIST((_xlfn.NORM.S.INV($C$10)-SQRT($D$3)*$A85)/SQRT(1-$D$3),TRUE),TRUE))</f>
        <v/>
      </c>
      <c r="G85">
        <f>IF($D$11=0,1,1-_xlfn.BINOM.DIST($D$11-1,$B$11,_xlfn.NORM.S.DIST((_xlfn.NORM.S.INV($C$11)-SQRT($D$3)*$A85)/SQRT(1-$D$3),TRUE),TRUE))</f>
        <v/>
      </c>
      <c r="H85">
        <f>IF($D$12=0,1,1-_xlfn.BINOM.DIST($D$12-1,$B$12,_xlfn.NORM.S.DIST((_xlfn.NORM.S.INV($C$12)-SQRT($D$3)*$A85)/SQRT(1-$D$3),TRUE),TRUE))</f>
        <v/>
      </c>
      <c r="I85">
        <f>IF($D$13=0,1,1-_xlfn.BINOM.DIST($D$13-1,$B$13,_xlfn.NORM.S.DIST((_xlfn.NORM.S.INV($C$13)-SQRT($D$3)*$A85)/SQRT(1-$D$3),TRUE),TRUE))</f>
        <v/>
      </c>
      <c r="J85">
        <f>IF($D$14=0,1,1-_xlfn.BINOM.DIST($D$14-1,$B$14,_xlfn.NORM.S.DIST((_xlfn.NORM.S.INV($C$14)-SQRT($D$3)*$A85)/SQRT(1-$D$3),TRUE),TRUE))</f>
        <v/>
      </c>
    </row>
    <row r="86">
      <c r="A86" t="n">
        <v>-1.4</v>
      </c>
      <c r="B86">
        <f>1.0*0.1*EXP(-(A86^2)/2)/SQRT(2*PI())</f>
        <v/>
      </c>
      <c r="C86">
        <f>IF($D$7=0,1,1-_xlfn.BINOM.DIST($D$7-1,$B$7,_xlfn.NORM.S.DIST((_xlfn.NORM.S.INV($C$7)-SQRT($D$3)*$A86)/SQRT(1-$D$3),TRUE),TRUE))</f>
        <v/>
      </c>
      <c r="D86">
        <f>IF($D$8=0,1,1-_xlfn.BINOM.DIST($D$8-1,$B$8,_xlfn.NORM.S.DIST((_xlfn.NORM.S.INV($C$8)-SQRT($D$3)*$A86)/SQRT(1-$D$3),TRUE),TRUE))</f>
        <v/>
      </c>
      <c r="E86">
        <f>IF($D$9=0,1,1-_xlfn.BINOM.DIST($D$9-1,$B$9,_xlfn.NORM.S.DIST((_xlfn.NORM.S.INV($C$9)-SQRT($D$3)*$A86)/SQRT(1-$D$3),TRUE),TRUE))</f>
        <v/>
      </c>
      <c r="F86">
        <f>IF($D$10=0,1,1-_xlfn.BINOM.DIST($D$10-1,$B$10,_xlfn.NORM.S.DIST((_xlfn.NORM.S.INV($C$10)-SQRT($D$3)*$A86)/SQRT(1-$D$3),TRUE),TRUE))</f>
        <v/>
      </c>
      <c r="G86">
        <f>IF($D$11=0,1,1-_xlfn.BINOM.DIST($D$11-1,$B$11,_xlfn.NORM.S.DIST((_xlfn.NORM.S.INV($C$11)-SQRT($D$3)*$A86)/SQRT(1-$D$3),TRUE),TRUE))</f>
        <v/>
      </c>
      <c r="H86">
        <f>IF($D$12=0,1,1-_xlfn.BINOM.DIST($D$12-1,$B$12,_xlfn.NORM.S.DIST((_xlfn.NORM.S.INV($C$12)-SQRT($D$3)*$A86)/SQRT(1-$D$3),TRUE),TRUE))</f>
        <v/>
      </c>
      <c r="I86">
        <f>IF($D$13=0,1,1-_xlfn.BINOM.DIST($D$13-1,$B$13,_xlfn.NORM.S.DIST((_xlfn.NORM.S.INV($C$13)-SQRT($D$3)*$A86)/SQRT(1-$D$3),TRUE),TRUE))</f>
        <v/>
      </c>
      <c r="J86">
        <f>IF($D$14=0,1,1-_xlfn.BINOM.DIST($D$14-1,$B$14,_xlfn.NORM.S.DIST((_xlfn.NORM.S.INV($C$14)-SQRT($D$3)*$A86)/SQRT(1-$D$3),TRUE),TRUE))</f>
        <v/>
      </c>
    </row>
    <row r="87">
      <c r="A87" t="n">
        <v>-1.3</v>
      </c>
      <c r="B87">
        <f>1.0*0.1*EXP(-(A87^2)/2)/SQRT(2*PI())</f>
        <v/>
      </c>
      <c r="C87">
        <f>IF($D$7=0,1,1-_xlfn.BINOM.DIST($D$7-1,$B$7,_xlfn.NORM.S.DIST((_xlfn.NORM.S.INV($C$7)-SQRT($D$3)*$A87)/SQRT(1-$D$3),TRUE),TRUE))</f>
        <v/>
      </c>
      <c r="D87">
        <f>IF($D$8=0,1,1-_xlfn.BINOM.DIST($D$8-1,$B$8,_xlfn.NORM.S.DIST((_xlfn.NORM.S.INV($C$8)-SQRT($D$3)*$A87)/SQRT(1-$D$3),TRUE),TRUE))</f>
        <v/>
      </c>
      <c r="E87">
        <f>IF($D$9=0,1,1-_xlfn.BINOM.DIST($D$9-1,$B$9,_xlfn.NORM.S.DIST((_xlfn.NORM.S.INV($C$9)-SQRT($D$3)*$A87)/SQRT(1-$D$3),TRUE),TRUE))</f>
        <v/>
      </c>
      <c r="F87">
        <f>IF($D$10=0,1,1-_xlfn.BINOM.DIST($D$10-1,$B$10,_xlfn.NORM.S.DIST((_xlfn.NORM.S.INV($C$10)-SQRT($D$3)*$A87)/SQRT(1-$D$3),TRUE),TRUE))</f>
        <v/>
      </c>
      <c r="G87">
        <f>IF($D$11=0,1,1-_xlfn.BINOM.DIST($D$11-1,$B$11,_xlfn.NORM.S.DIST((_xlfn.NORM.S.INV($C$11)-SQRT($D$3)*$A87)/SQRT(1-$D$3),TRUE),TRUE))</f>
        <v/>
      </c>
      <c r="H87">
        <f>IF($D$12=0,1,1-_xlfn.BINOM.DIST($D$12-1,$B$12,_xlfn.NORM.S.DIST((_xlfn.NORM.S.INV($C$12)-SQRT($D$3)*$A87)/SQRT(1-$D$3),TRUE),TRUE))</f>
        <v/>
      </c>
      <c r="I87">
        <f>IF($D$13=0,1,1-_xlfn.BINOM.DIST($D$13-1,$B$13,_xlfn.NORM.S.DIST((_xlfn.NORM.S.INV($C$13)-SQRT($D$3)*$A87)/SQRT(1-$D$3),TRUE),TRUE))</f>
        <v/>
      </c>
      <c r="J87">
        <f>IF($D$14=0,1,1-_xlfn.BINOM.DIST($D$14-1,$B$14,_xlfn.NORM.S.DIST((_xlfn.NORM.S.INV($C$14)-SQRT($D$3)*$A87)/SQRT(1-$D$3),TRUE),TRUE))</f>
        <v/>
      </c>
    </row>
    <row r="88">
      <c r="A88" t="n">
        <v>-1.2</v>
      </c>
      <c r="B88">
        <f>1.0*0.1*EXP(-(A88^2)/2)/SQRT(2*PI())</f>
        <v/>
      </c>
      <c r="C88">
        <f>IF($D$7=0,1,1-_xlfn.BINOM.DIST($D$7-1,$B$7,_xlfn.NORM.S.DIST((_xlfn.NORM.S.INV($C$7)-SQRT($D$3)*$A88)/SQRT(1-$D$3),TRUE),TRUE))</f>
        <v/>
      </c>
      <c r="D88">
        <f>IF($D$8=0,1,1-_xlfn.BINOM.DIST($D$8-1,$B$8,_xlfn.NORM.S.DIST((_xlfn.NORM.S.INV($C$8)-SQRT($D$3)*$A88)/SQRT(1-$D$3),TRUE),TRUE))</f>
        <v/>
      </c>
      <c r="E88">
        <f>IF($D$9=0,1,1-_xlfn.BINOM.DIST($D$9-1,$B$9,_xlfn.NORM.S.DIST((_xlfn.NORM.S.INV($C$9)-SQRT($D$3)*$A88)/SQRT(1-$D$3),TRUE),TRUE))</f>
        <v/>
      </c>
      <c r="F88">
        <f>IF($D$10=0,1,1-_xlfn.BINOM.DIST($D$10-1,$B$10,_xlfn.NORM.S.DIST((_xlfn.NORM.S.INV($C$10)-SQRT($D$3)*$A88)/SQRT(1-$D$3),TRUE),TRUE))</f>
        <v/>
      </c>
      <c r="G88">
        <f>IF($D$11=0,1,1-_xlfn.BINOM.DIST($D$11-1,$B$11,_xlfn.NORM.S.DIST((_xlfn.NORM.S.INV($C$11)-SQRT($D$3)*$A88)/SQRT(1-$D$3),TRUE),TRUE))</f>
        <v/>
      </c>
      <c r="H88">
        <f>IF($D$12=0,1,1-_xlfn.BINOM.DIST($D$12-1,$B$12,_xlfn.NORM.S.DIST((_xlfn.NORM.S.INV($C$12)-SQRT($D$3)*$A88)/SQRT(1-$D$3),TRUE),TRUE))</f>
        <v/>
      </c>
      <c r="I88">
        <f>IF($D$13=0,1,1-_xlfn.BINOM.DIST($D$13-1,$B$13,_xlfn.NORM.S.DIST((_xlfn.NORM.S.INV($C$13)-SQRT($D$3)*$A88)/SQRT(1-$D$3),TRUE),TRUE))</f>
        <v/>
      </c>
      <c r="J88">
        <f>IF($D$14=0,1,1-_xlfn.BINOM.DIST($D$14-1,$B$14,_xlfn.NORM.S.DIST((_xlfn.NORM.S.INV($C$14)-SQRT($D$3)*$A88)/SQRT(1-$D$3),TRUE),TRUE))</f>
        <v/>
      </c>
    </row>
    <row r="89">
      <c r="A89" t="n">
        <v>-1.1</v>
      </c>
      <c r="B89">
        <f>1.0*0.1*EXP(-(A89^2)/2)/SQRT(2*PI())</f>
        <v/>
      </c>
      <c r="C89">
        <f>IF($D$7=0,1,1-_xlfn.BINOM.DIST($D$7-1,$B$7,_xlfn.NORM.S.DIST((_xlfn.NORM.S.INV($C$7)-SQRT($D$3)*$A89)/SQRT(1-$D$3),TRUE),TRUE))</f>
        <v/>
      </c>
      <c r="D89">
        <f>IF($D$8=0,1,1-_xlfn.BINOM.DIST($D$8-1,$B$8,_xlfn.NORM.S.DIST((_xlfn.NORM.S.INV($C$8)-SQRT($D$3)*$A89)/SQRT(1-$D$3),TRUE),TRUE))</f>
        <v/>
      </c>
      <c r="E89">
        <f>IF($D$9=0,1,1-_xlfn.BINOM.DIST($D$9-1,$B$9,_xlfn.NORM.S.DIST((_xlfn.NORM.S.INV($C$9)-SQRT($D$3)*$A89)/SQRT(1-$D$3),TRUE),TRUE))</f>
        <v/>
      </c>
      <c r="F89">
        <f>IF($D$10=0,1,1-_xlfn.BINOM.DIST($D$10-1,$B$10,_xlfn.NORM.S.DIST((_xlfn.NORM.S.INV($C$10)-SQRT($D$3)*$A89)/SQRT(1-$D$3),TRUE),TRUE))</f>
        <v/>
      </c>
      <c r="G89">
        <f>IF($D$11=0,1,1-_xlfn.BINOM.DIST($D$11-1,$B$11,_xlfn.NORM.S.DIST((_xlfn.NORM.S.INV($C$11)-SQRT($D$3)*$A89)/SQRT(1-$D$3),TRUE),TRUE))</f>
        <v/>
      </c>
      <c r="H89">
        <f>IF($D$12=0,1,1-_xlfn.BINOM.DIST($D$12-1,$B$12,_xlfn.NORM.S.DIST((_xlfn.NORM.S.INV($C$12)-SQRT($D$3)*$A89)/SQRT(1-$D$3),TRUE),TRUE))</f>
        <v/>
      </c>
      <c r="I89">
        <f>IF($D$13=0,1,1-_xlfn.BINOM.DIST($D$13-1,$B$13,_xlfn.NORM.S.DIST((_xlfn.NORM.S.INV($C$13)-SQRT($D$3)*$A89)/SQRT(1-$D$3),TRUE),TRUE))</f>
        <v/>
      </c>
      <c r="J89">
        <f>IF($D$14=0,1,1-_xlfn.BINOM.DIST($D$14-1,$B$14,_xlfn.NORM.S.DIST((_xlfn.NORM.S.INV($C$14)-SQRT($D$3)*$A89)/SQRT(1-$D$3),TRUE),TRUE))</f>
        <v/>
      </c>
    </row>
    <row r="90">
      <c r="A90" t="n">
        <v>-1</v>
      </c>
      <c r="B90">
        <f>1.0*0.1*EXP(-(A90^2)/2)/SQRT(2*PI())</f>
        <v/>
      </c>
      <c r="C90">
        <f>IF($D$7=0,1,1-_xlfn.BINOM.DIST($D$7-1,$B$7,_xlfn.NORM.S.DIST((_xlfn.NORM.S.INV($C$7)-SQRT($D$3)*$A90)/SQRT(1-$D$3),TRUE),TRUE))</f>
        <v/>
      </c>
      <c r="D90">
        <f>IF($D$8=0,1,1-_xlfn.BINOM.DIST($D$8-1,$B$8,_xlfn.NORM.S.DIST((_xlfn.NORM.S.INV($C$8)-SQRT($D$3)*$A90)/SQRT(1-$D$3),TRUE),TRUE))</f>
        <v/>
      </c>
      <c r="E90">
        <f>IF($D$9=0,1,1-_xlfn.BINOM.DIST($D$9-1,$B$9,_xlfn.NORM.S.DIST((_xlfn.NORM.S.INV($C$9)-SQRT($D$3)*$A90)/SQRT(1-$D$3),TRUE),TRUE))</f>
        <v/>
      </c>
      <c r="F90">
        <f>IF($D$10=0,1,1-_xlfn.BINOM.DIST($D$10-1,$B$10,_xlfn.NORM.S.DIST((_xlfn.NORM.S.INV($C$10)-SQRT($D$3)*$A90)/SQRT(1-$D$3),TRUE),TRUE))</f>
        <v/>
      </c>
      <c r="G90">
        <f>IF($D$11=0,1,1-_xlfn.BINOM.DIST($D$11-1,$B$11,_xlfn.NORM.S.DIST((_xlfn.NORM.S.INV($C$11)-SQRT($D$3)*$A90)/SQRT(1-$D$3),TRUE),TRUE))</f>
        <v/>
      </c>
      <c r="H90">
        <f>IF($D$12=0,1,1-_xlfn.BINOM.DIST($D$12-1,$B$12,_xlfn.NORM.S.DIST((_xlfn.NORM.S.INV($C$12)-SQRT($D$3)*$A90)/SQRT(1-$D$3),TRUE),TRUE))</f>
        <v/>
      </c>
      <c r="I90">
        <f>IF($D$13=0,1,1-_xlfn.BINOM.DIST($D$13-1,$B$13,_xlfn.NORM.S.DIST((_xlfn.NORM.S.INV($C$13)-SQRT($D$3)*$A90)/SQRT(1-$D$3),TRUE),TRUE))</f>
        <v/>
      </c>
      <c r="J90">
        <f>IF($D$14=0,1,1-_xlfn.BINOM.DIST($D$14-1,$B$14,_xlfn.NORM.S.DIST((_xlfn.NORM.S.INV($C$14)-SQRT($D$3)*$A90)/SQRT(1-$D$3),TRUE),TRUE))</f>
        <v/>
      </c>
    </row>
    <row r="91">
      <c r="A91" t="n">
        <v>-0.9</v>
      </c>
      <c r="B91">
        <f>1.0*0.1*EXP(-(A91^2)/2)/SQRT(2*PI())</f>
        <v/>
      </c>
      <c r="C91">
        <f>IF($D$7=0,1,1-_xlfn.BINOM.DIST($D$7-1,$B$7,_xlfn.NORM.S.DIST((_xlfn.NORM.S.INV($C$7)-SQRT($D$3)*$A91)/SQRT(1-$D$3),TRUE),TRUE))</f>
        <v/>
      </c>
      <c r="D91">
        <f>IF($D$8=0,1,1-_xlfn.BINOM.DIST($D$8-1,$B$8,_xlfn.NORM.S.DIST((_xlfn.NORM.S.INV($C$8)-SQRT($D$3)*$A91)/SQRT(1-$D$3),TRUE),TRUE))</f>
        <v/>
      </c>
      <c r="E91">
        <f>IF($D$9=0,1,1-_xlfn.BINOM.DIST($D$9-1,$B$9,_xlfn.NORM.S.DIST((_xlfn.NORM.S.INV($C$9)-SQRT($D$3)*$A91)/SQRT(1-$D$3),TRUE),TRUE))</f>
        <v/>
      </c>
      <c r="F91">
        <f>IF($D$10=0,1,1-_xlfn.BINOM.DIST($D$10-1,$B$10,_xlfn.NORM.S.DIST((_xlfn.NORM.S.INV($C$10)-SQRT($D$3)*$A91)/SQRT(1-$D$3),TRUE),TRUE))</f>
        <v/>
      </c>
      <c r="G91">
        <f>IF($D$11=0,1,1-_xlfn.BINOM.DIST($D$11-1,$B$11,_xlfn.NORM.S.DIST((_xlfn.NORM.S.INV($C$11)-SQRT($D$3)*$A91)/SQRT(1-$D$3),TRUE),TRUE))</f>
        <v/>
      </c>
      <c r="H91">
        <f>IF($D$12=0,1,1-_xlfn.BINOM.DIST($D$12-1,$B$12,_xlfn.NORM.S.DIST((_xlfn.NORM.S.INV($C$12)-SQRT($D$3)*$A91)/SQRT(1-$D$3),TRUE),TRUE))</f>
        <v/>
      </c>
      <c r="I91">
        <f>IF($D$13=0,1,1-_xlfn.BINOM.DIST($D$13-1,$B$13,_xlfn.NORM.S.DIST((_xlfn.NORM.S.INV($C$13)-SQRT($D$3)*$A91)/SQRT(1-$D$3),TRUE),TRUE))</f>
        <v/>
      </c>
      <c r="J91">
        <f>IF($D$14=0,1,1-_xlfn.BINOM.DIST($D$14-1,$B$14,_xlfn.NORM.S.DIST((_xlfn.NORM.S.INV($C$14)-SQRT($D$3)*$A91)/SQRT(1-$D$3),TRUE),TRUE))</f>
        <v/>
      </c>
    </row>
    <row r="92">
      <c r="A92" t="n">
        <v>-0.8</v>
      </c>
      <c r="B92">
        <f>1.0*0.1*EXP(-(A92^2)/2)/SQRT(2*PI())</f>
        <v/>
      </c>
      <c r="C92">
        <f>IF($D$7=0,1,1-_xlfn.BINOM.DIST($D$7-1,$B$7,_xlfn.NORM.S.DIST((_xlfn.NORM.S.INV($C$7)-SQRT($D$3)*$A92)/SQRT(1-$D$3),TRUE),TRUE))</f>
        <v/>
      </c>
      <c r="D92">
        <f>IF($D$8=0,1,1-_xlfn.BINOM.DIST($D$8-1,$B$8,_xlfn.NORM.S.DIST((_xlfn.NORM.S.INV($C$8)-SQRT($D$3)*$A92)/SQRT(1-$D$3),TRUE),TRUE))</f>
        <v/>
      </c>
      <c r="E92">
        <f>IF($D$9=0,1,1-_xlfn.BINOM.DIST($D$9-1,$B$9,_xlfn.NORM.S.DIST((_xlfn.NORM.S.INV($C$9)-SQRT($D$3)*$A92)/SQRT(1-$D$3),TRUE),TRUE))</f>
        <v/>
      </c>
      <c r="F92">
        <f>IF($D$10=0,1,1-_xlfn.BINOM.DIST($D$10-1,$B$10,_xlfn.NORM.S.DIST((_xlfn.NORM.S.INV($C$10)-SQRT($D$3)*$A92)/SQRT(1-$D$3),TRUE),TRUE))</f>
        <v/>
      </c>
      <c r="G92">
        <f>IF($D$11=0,1,1-_xlfn.BINOM.DIST($D$11-1,$B$11,_xlfn.NORM.S.DIST((_xlfn.NORM.S.INV($C$11)-SQRT($D$3)*$A92)/SQRT(1-$D$3),TRUE),TRUE))</f>
        <v/>
      </c>
      <c r="H92">
        <f>IF($D$12=0,1,1-_xlfn.BINOM.DIST($D$12-1,$B$12,_xlfn.NORM.S.DIST((_xlfn.NORM.S.INV($C$12)-SQRT($D$3)*$A92)/SQRT(1-$D$3),TRUE),TRUE))</f>
        <v/>
      </c>
      <c r="I92">
        <f>IF($D$13=0,1,1-_xlfn.BINOM.DIST($D$13-1,$B$13,_xlfn.NORM.S.DIST((_xlfn.NORM.S.INV($C$13)-SQRT($D$3)*$A92)/SQRT(1-$D$3),TRUE),TRUE))</f>
        <v/>
      </c>
      <c r="J92">
        <f>IF($D$14=0,1,1-_xlfn.BINOM.DIST($D$14-1,$B$14,_xlfn.NORM.S.DIST((_xlfn.NORM.S.INV($C$14)-SQRT($D$3)*$A92)/SQRT(1-$D$3),TRUE),TRUE))</f>
        <v/>
      </c>
    </row>
    <row r="93">
      <c r="A93" t="n">
        <v>-0.7</v>
      </c>
      <c r="B93">
        <f>1.0*0.1*EXP(-(A93^2)/2)/SQRT(2*PI())</f>
        <v/>
      </c>
      <c r="C93">
        <f>IF($D$7=0,1,1-_xlfn.BINOM.DIST($D$7-1,$B$7,_xlfn.NORM.S.DIST((_xlfn.NORM.S.INV($C$7)-SQRT($D$3)*$A93)/SQRT(1-$D$3),TRUE),TRUE))</f>
        <v/>
      </c>
      <c r="D93">
        <f>IF($D$8=0,1,1-_xlfn.BINOM.DIST($D$8-1,$B$8,_xlfn.NORM.S.DIST((_xlfn.NORM.S.INV($C$8)-SQRT($D$3)*$A93)/SQRT(1-$D$3),TRUE),TRUE))</f>
        <v/>
      </c>
      <c r="E93">
        <f>IF($D$9=0,1,1-_xlfn.BINOM.DIST($D$9-1,$B$9,_xlfn.NORM.S.DIST((_xlfn.NORM.S.INV($C$9)-SQRT($D$3)*$A93)/SQRT(1-$D$3),TRUE),TRUE))</f>
        <v/>
      </c>
      <c r="F93">
        <f>IF($D$10=0,1,1-_xlfn.BINOM.DIST($D$10-1,$B$10,_xlfn.NORM.S.DIST((_xlfn.NORM.S.INV($C$10)-SQRT($D$3)*$A93)/SQRT(1-$D$3),TRUE),TRUE))</f>
        <v/>
      </c>
      <c r="G93">
        <f>IF($D$11=0,1,1-_xlfn.BINOM.DIST($D$11-1,$B$11,_xlfn.NORM.S.DIST((_xlfn.NORM.S.INV($C$11)-SQRT($D$3)*$A93)/SQRT(1-$D$3),TRUE),TRUE))</f>
        <v/>
      </c>
      <c r="H93">
        <f>IF($D$12=0,1,1-_xlfn.BINOM.DIST($D$12-1,$B$12,_xlfn.NORM.S.DIST((_xlfn.NORM.S.INV($C$12)-SQRT($D$3)*$A93)/SQRT(1-$D$3),TRUE),TRUE))</f>
        <v/>
      </c>
      <c r="I93">
        <f>IF($D$13=0,1,1-_xlfn.BINOM.DIST($D$13-1,$B$13,_xlfn.NORM.S.DIST((_xlfn.NORM.S.INV($C$13)-SQRT($D$3)*$A93)/SQRT(1-$D$3),TRUE),TRUE))</f>
        <v/>
      </c>
      <c r="J93">
        <f>IF($D$14=0,1,1-_xlfn.BINOM.DIST($D$14-1,$B$14,_xlfn.NORM.S.DIST((_xlfn.NORM.S.INV($C$14)-SQRT($D$3)*$A93)/SQRT(1-$D$3),TRUE),TRUE))</f>
        <v/>
      </c>
    </row>
    <row r="94">
      <c r="A94" t="n">
        <v>-0.6</v>
      </c>
      <c r="B94">
        <f>1.0*0.1*EXP(-(A94^2)/2)/SQRT(2*PI())</f>
        <v/>
      </c>
      <c r="C94">
        <f>IF($D$7=0,1,1-_xlfn.BINOM.DIST($D$7-1,$B$7,_xlfn.NORM.S.DIST((_xlfn.NORM.S.INV($C$7)-SQRT($D$3)*$A94)/SQRT(1-$D$3),TRUE),TRUE))</f>
        <v/>
      </c>
      <c r="D94">
        <f>IF($D$8=0,1,1-_xlfn.BINOM.DIST($D$8-1,$B$8,_xlfn.NORM.S.DIST((_xlfn.NORM.S.INV($C$8)-SQRT($D$3)*$A94)/SQRT(1-$D$3),TRUE),TRUE))</f>
        <v/>
      </c>
      <c r="E94">
        <f>IF($D$9=0,1,1-_xlfn.BINOM.DIST($D$9-1,$B$9,_xlfn.NORM.S.DIST((_xlfn.NORM.S.INV($C$9)-SQRT($D$3)*$A94)/SQRT(1-$D$3),TRUE),TRUE))</f>
        <v/>
      </c>
      <c r="F94">
        <f>IF($D$10=0,1,1-_xlfn.BINOM.DIST($D$10-1,$B$10,_xlfn.NORM.S.DIST((_xlfn.NORM.S.INV($C$10)-SQRT($D$3)*$A94)/SQRT(1-$D$3),TRUE),TRUE))</f>
        <v/>
      </c>
      <c r="G94">
        <f>IF($D$11=0,1,1-_xlfn.BINOM.DIST($D$11-1,$B$11,_xlfn.NORM.S.DIST((_xlfn.NORM.S.INV($C$11)-SQRT($D$3)*$A94)/SQRT(1-$D$3),TRUE),TRUE))</f>
        <v/>
      </c>
      <c r="H94">
        <f>IF($D$12=0,1,1-_xlfn.BINOM.DIST($D$12-1,$B$12,_xlfn.NORM.S.DIST((_xlfn.NORM.S.INV($C$12)-SQRT($D$3)*$A94)/SQRT(1-$D$3),TRUE),TRUE))</f>
        <v/>
      </c>
      <c r="I94">
        <f>IF($D$13=0,1,1-_xlfn.BINOM.DIST($D$13-1,$B$13,_xlfn.NORM.S.DIST((_xlfn.NORM.S.INV($C$13)-SQRT($D$3)*$A94)/SQRT(1-$D$3),TRUE),TRUE))</f>
        <v/>
      </c>
      <c r="J94">
        <f>IF($D$14=0,1,1-_xlfn.BINOM.DIST($D$14-1,$B$14,_xlfn.NORM.S.DIST((_xlfn.NORM.S.INV($C$14)-SQRT($D$3)*$A94)/SQRT(1-$D$3),TRUE),TRUE))</f>
        <v/>
      </c>
    </row>
    <row r="95">
      <c r="A95" t="n">
        <v>-0.5</v>
      </c>
      <c r="B95">
        <f>1.0*0.1*EXP(-(A95^2)/2)/SQRT(2*PI())</f>
        <v/>
      </c>
      <c r="C95">
        <f>IF($D$7=0,1,1-_xlfn.BINOM.DIST($D$7-1,$B$7,_xlfn.NORM.S.DIST((_xlfn.NORM.S.INV($C$7)-SQRT($D$3)*$A95)/SQRT(1-$D$3),TRUE),TRUE))</f>
        <v/>
      </c>
      <c r="D95">
        <f>IF($D$8=0,1,1-_xlfn.BINOM.DIST($D$8-1,$B$8,_xlfn.NORM.S.DIST((_xlfn.NORM.S.INV($C$8)-SQRT($D$3)*$A95)/SQRT(1-$D$3),TRUE),TRUE))</f>
        <v/>
      </c>
      <c r="E95">
        <f>IF($D$9=0,1,1-_xlfn.BINOM.DIST($D$9-1,$B$9,_xlfn.NORM.S.DIST((_xlfn.NORM.S.INV($C$9)-SQRT($D$3)*$A95)/SQRT(1-$D$3),TRUE),TRUE))</f>
        <v/>
      </c>
      <c r="F95">
        <f>IF($D$10=0,1,1-_xlfn.BINOM.DIST($D$10-1,$B$10,_xlfn.NORM.S.DIST((_xlfn.NORM.S.INV($C$10)-SQRT($D$3)*$A95)/SQRT(1-$D$3),TRUE),TRUE))</f>
        <v/>
      </c>
      <c r="G95">
        <f>IF($D$11=0,1,1-_xlfn.BINOM.DIST($D$11-1,$B$11,_xlfn.NORM.S.DIST((_xlfn.NORM.S.INV($C$11)-SQRT($D$3)*$A95)/SQRT(1-$D$3),TRUE),TRUE))</f>
        <v/>
      </c>
      <c r="H95">
        <f>IF($D$12=0,1,1-_xlfn.BINOM.DIST($D$12-1,$B$12,_xlfn.NORM.S.DIST((_xlfn.NORM.S.INV($C$12)-SQRT($D$3)*$A95)/SQRT(1-$D$3),TRUE),TRUE))</f>
        <v/>
      </c>
      <c r="I95">
        <f>IF($D$13=0,1,1-_xlfn.BINOM.DIST($D$13-1,$B$13,_xlfn.NORM.S.DIST((_xlfn.NORM.S.INV($C$13)-SQRT($D$3)*$A95)/SQRT(1-$D$3),TRUE),TRUE))</f>
        <v/>
      </c>
      <c r="J95">
        <f>IF($D$14=0,1,1-_xlfn.BINOM.DIST($D$14-1,$B$14,_xlfn.NORM.S.DIST((_xlfn.NORM.S.INV($C$14)-SQRT($D$3)*$A95)/SQRT(1-$D$3),TRUE),TRUE))</f>
        <v/>
      </c>
    </row>
    <row r="96">
      <c r="A96" t="n">
        <v>-0.4</v>
      </c>
      <c r="B96">
        <f>1.0*0.1*EXP(-(A96^2)/2)/SQRT(2*PI())</f>
        <v/>
      </c>
      <c r="C96">
        <f>IF($D$7=0,1,1-_xlfn.BINOM.DIST($D$7-1,$B$7,_xlfn.NORM.S.DIST((_xlfn.NORM.S.INV($C$7)-SQRT($D$3)*$A96)/SQRT(1-$D$3),TRUE),TRUE))</f>
        <v/>
      </c>
      <c r="D96">
        <f>IF($D$8=0,1,1-_xlfn.BINOM.DIST($D$8-1,$B$8,_xlfn.NORM.S.DIST((_xlfn.NORM.S.INV($C$8)-SQRT($D$3)*$A96)/SQRT(1-$D$3),TRUE),TRUE))</f>
        <v/>
      </c>
      <c r="E96">
        <f>IF($D$9=0,1,1-_xlfn.BINOM.DIST($D$9-1,$B$9,_xlfn.NORM.S.DIST((_xlfn.NORM.S.INV($C$9)-SQRT($D$3)*$A96)/SQRT(1-$D$3),TRUE),TRUE))</f>
        <v/>
      </c>
      <c r="F96">
        <f>IF($D$10=0,1,1-_xlfn.BINOM.DIST($D$10-1,$B$10,_xlfn.NORM.S.DIST((_xlfn.NORM.S.INV($C$10)-SQRT($D$3)*$A96)/SQRT(1-$D$3),TRUE),TRUE))</f>
        <v/>
      </c>
      <c r="G96">
        <f>IF($D$11=0,1,1-_xlfn.BINOM.DIST($D$11-1,$B$11,_xlfn.NORM.S.DIST((_xlfn.NORM.S.INV($C$11)-SQRT($D$3)*$A96)/SQRT(1-$D$3),TRUE),TRUE))</f>
        <v/>
      </c>
      <c r="H96">
        <f>IF($D$12=0,1,1-_xlfn.BINOM.DIST($D$12-1,$B$12,_xlfn.NORM.S.DIST((_xlfn.NORM.S.INV($C$12)-SQRT($D$3)*$A96)/SQRT(1-$D$3),TRUE),TRUE))</f>
        <v/>
      </c>
      <c r="I96">
        <f>IF($D$13=0,1,1-_xlfn.BINOM.DIST($D$13-1,$B$13,_xlfn.NORM.S.DIST((_xlfn.NORM.S.INV($C$13)-SQRT($D$3)*$A96)/SQRT(1-$D$3),TRUE),TRUE))</f>
        <v/>
      </c>
      <c r="J96">
        <f>IF($D$14=0,1,1-_xlfn.BINOM.DIST($D$14-1,$B$14,_xlfn.NORM.S.DIST((_xlfn.NORM.S.INV($C$14)-SQRT($D$3)*$A96)/SQRT(1-$D$3),TRUE),TRUE))</f>
        <v/>
      </c>
    </row>
    <row r="97">
      <c r="A97" t="n">
        <v>-0.3</v>
      </c>
      <c r="B97">
        <f>1.0*0.1*EXP(-(A97^2)/2)/SQRT(2*PI())</f>
        <v/>
      </c>
      <c r="C97">
        <f>IF($D$7=0,1,1-_xlfn.BINOM.DIST($D$7-1,$B$7,_xlfn.NORM.S.DIST((_xlfn.NORM.S.INV($C$7)-SQRT($D$3)*$A97)/SQRT(1-$D$3),TRUE),TRUE))</f>
        <v/>
      </c>
      <c r="D97">
        <f>IF($D$8=0,1,1-_xlfn.BINOM.DIST($D$8-1,$B$8,_xlfn.NORM.S.DIST((_xlfn.NORM.S.INV($C$8)-SQRT($D$3)*$A97)/SQRT(1-$D$3),TRUE),TRUE))</f>
        <v/>
      </c>
      <c r="E97">
        <f>IF($D$9=0,1,1-_xlfn.BINOM.DIST($D$9-1,$B$9,_xlfn.NORM.S.DIST((_xlfn.NORM.S.INV($C$9)-SQRT($D$3)*$A97)/SQRT(1-$D$3),TRUE),TRUE))</f>
        <v/>
      </c>
      <c r="F97">
        <f>IF($D$10=0,1,1-_xlfn.BINOM.DIST($D$10-1,$B$10,_xlfn.NORM.S.DIST((_xlfn.NORM.S.INV($C$10)-SQRT($D$3)*$A97)/SQRT(1-$D$3),TRUE),TRUE))</f>
        <v/>
      </c>
      <c r="G97">
        <f>IF($D$11=0,1,1-_xlfn.BINOM.DIST($D$11-1,$B$11,_xlfn.NORM.S.DIST((_xlfn.NORM.S.INV($C$11)-SQRT($D$3)*$A97)/SQRT(1-$D$3),TRUE),TRUE))</f>
        <v/>
      </c>
      <c r="H97">
        <f>IF($D$12=0,1,1-_xlfn.BINOM.DIST($D$12-1,$B$12,_xlfn.NORM.S.DIST((_xlfn.NORM.S.INV($C$12)-SQRT($D$3)*$A97)/SQRT(1-$D$3),TRUE),TRUE))</f>
        <v/>
      </c>
      <c r="I97">
        <f>IF($D$13=0,1,1-_xlfn.BINOM.DIST($D$13-1,$B$13,_xlfn.NORM.S.DIST((_xlfn.NORM.S.INV($C$13)-SQRT($D$3)*$A97)/SQRT(1-$D$3),TRUE),TRUE))</f>
        <v/>
      </c>
      <c r="J97">
        <f>IF($D$14=0,1,1-_xlfn.BINOM.DIST($D$14-1,$B$14,_xlfn.NORM.S.DIST((_xlfn.NORM.S.INV($C$14)-SQRT($D$3)*$A97)/SQRT(1-$D$3),TRUE),TRUE))</f>
        <v/>
      </c>
    </row>
    <row r="98">
      <c r="A98" t="n">
        <v>-0.2</v>
      </c>
      <c r="B98">
        <f>1.0*0.1*EXP(-(A98^2)/2)/SQRT(2*PI())</f>
        <v/>
      </c>
      <c r="C98">
        <f>IF($D$7=0,1,1-_xlfn.BINOM.DIST($D$7-1,$B$7,_xlfn.NORM.S.DIST((_xlfn.NORM.S.INV($C$7)-SQRT($D$3)*$A98)/SQRT(1-$D$3),TRUE),TRUE))</f>
        <v/>
      </c>
      <c r="D98">
        <f>IF($D$8=0,1,1-_xlfn.BINOM.DIST($D$8-1,$B$8,_xlfn.NORM.S.DIST((_xlfn.NORM.S.INV($C$8)-SQRT($D$3)*$A98)/SQRT(1-$D$3),TRUE),TRUE))</f>
        <v/>
      </c>
      <c r="E98">
        <f>IF($D$9=0,1,1-_xlfn.BINOM.DIST($D$9-1,$B$9,_xlfn.NORM.S.DIST((_xlfn.NORM.S.INV($C$9)-SQRT($D$3)*$A98)/SQRT(1-$D$3),TRUE),TRUE))</f>
        <v/>
      </c>
      <c r="F98">
        <f>IF($D$10=0,1,1-_xlfn.BINOM.DIST($D$10-1,$B$10,_xlfn.NORM.S.DIST((_xlfn.NORM.S.INV($C$10)-SQRT($D$3)*$A98)/SQRT(1-$D$3),TRUE),TRUE))</f>
        <v/>
      </c>
      <c r="G98">
        <f>IF($D$11=0,1,1-_xlfn.BINOM.DIST($D$11-1,$B$11,_xlfn.NORM.S.DIST((_xlfn.NORM.S.INV($C$11)-SQRT($D$3)*$A98)/SQRT(1-$D$3),TRUE),TRUE))</f>
        <v/>
      </c>
      <c r="H98">
        <f>IF($D$12=0,1,1-_xlfn.BINOM.DIST($D$12-1,$B$12,_xlfn.NORM.S.DIST((_xlfn.NORM.S.INV($C$12)-SQRT($D$3)*$A98)/SQRT(1-$D$3),TRUE),TRUE))</f>
        <v/>
      </c>
      <c r="I98">
        <f>IF($D$13=0,1,1-_xlfn.BINOM.DIST($D$13-1,$B$13,_xlfn.NORM.S.DIST((_xlfn.NORM.S.INV($C$13)-SQRT($D$3)*$A98)/SQRT(1-$D$3),TRUE),TRUE))</f>
        <v/>
      </c>
      <c r="J98">
        <f>IF($D$14=0,1,1-_xlfn.BINOM.DIST($D$14-1,$B$14,_xlfn.NORM.S.DIST((_xlfn.NORM.S.INV($C$14)-SQRT($D$3)*$A98)/SQRT(1-$D$3),TRUE),TRUE))</f>
        <v/>
      </c>
    </row>
    <row r="99">
      <c r="A99" t="n">
        <v>-0.1</v>
      </c>
      <c r="B99">
        <f>1.0*0.1*EXP(-(A99^2)/2)/SQRT(2*PI())</f>
        <v/>
      </c>
      <c r="C99">
        <f>IF($D$7=0,1,1-_xlfn.BINOM.DIST($D$7-1,$B$7,_xlfn.NORM.S.DIST((_xlfn.NORM.S.INV($C$7)-SQRT($D$3)*$A99)/SQRT(1-$D$3),TRUE),TRUE))</f>
        <v/>
      </c>
      <c r="D99">
        <f>IF($D$8=0,1,1-_xlfn.BINOM.DIST($D$8-1,$B$8,_xlfn.NORM.S.DIST((_xlfn.NORM.S.INV($C$8)-SQRT($D$3)*$A99)/SQRT(1-$D$3),TRUE),TRUE))</f>
        <v/>
      </c>
      <c r="E99">
        <f>IF($D$9=0,1,1-_xlfn.BINOM.DIST($D$9-1,$B$9,_xlfn.NORM.S.DIST((_xlfn.NORM.S.INV($C$9)-SQRT($D$3)*$A99)/SQRT(1-$D$3),TRUE),TRUE))</f>
        <v/>
      </c>
      <c r="F99">
        <f>IF($D$10=0,1,1-_xlfn.BINOM.DIST($D$10-1,$B$10,_xlfn.NORM.S.DIST((_xlfn.NORM.S.INV($C$10)-SQRT($D$3)*$A99)/SQRT(1-$D$3),TRUE),TRUE))</f>
        <v/>
      </c>
      <c r="G99">
        <f>IF($D$11=0,1,1-_xlfn.BINOM.DIST($D$11-1,$B$11,_xlfn.NORM.S.DIST((_xlfn.NORM.S.INV($C$11)-SQRT($D$3)*$A99)/SQRT(1-$D$3),TRUE),TRUE))</f>
        <v/>
      </c>
      <c r="H99">
        <f>IF($D$12=0,1,1-_xlfn.BINOM.DIST($D$12-1,$B$12,_xlfn.NORM.S.DIST((_xlfn.NORM.S.INV($C$12)-SQRT($D$3)*$A99)/SQRT(1-$D$3),TRUE),TRUE))</f>
        <v/>
      </c>
      <c r="I99">
        <f>IF($D$13=0,1,1-_xlfn.BINOM.DIST($D$13-1,$B$13,_xlfn.NORM.S.DIST((_xlfn.NORM.S.INV($C$13)-SQRT($D$3)*$A99)/SQRT(1-$D$3),TRUE),TRUE))</f>
        <v/>
      </c>
      <c r="J99">
        <f>IF($D$14=0,1,1-_xlfn.BINOM.DIST($D$14-1,$B$14,_xlfn.NORM.S.DIST((_xlfn.NORM.S.INV($C$14)-SQRT($D$3)*$A99)/SQRT(1-$D$3),TRUE),TRUE))</f>
        <v/>
      </c>
    </row>
    <row r="100">
      <c r="A100" t="n">
        <v>0</v>
      </c>
      <c r="B100">
        <f>1.0*0.1*EXP(-(A100^2)/2)/SQRT(2*PI())</f>
        <v/>
      </c>
      <c r="C100">
        <f>IF($D$7=0,1,1-_xlfn.BINOM.DIST($D$7-1,$B$7,_xlfn.NORM.S.DIST((_xlfn.NORM.S.INV($C$7)-SQRT($D$3)*$A100)/SQRT(1-$D$3),TRUE),TRUE))</f>
        <v/>
      </c>
      <c r="D100">
        <f>IF($D$8=0,1,1-_xlfn.BINOM.DIST($D$8-1,$B$8,_xlfn.NORM.S.DIST((_xlfn.NORM.S.INV($C$8)-SQRT($D$3)*$A100)/SQRT(1-$D$3),TRUE),TRUE))</f>
        <v/>
      </c>
      <c r="E100">
        <f>IF($D$9=0,1,1-_xlfn.BINOM.DIST($D$9-1,$B$9,_xlfn.NORM.S.DIST((_xlfn.NORM.S.INV($C$9)-SQRT($D$3)*$A100)/SQRT(1-$D$3),TRUE),TRUE))</f>
        <v/>
      </c>
      <c r="F100">
        <f>IF($D$10=0,1,1-_xlfn.BINOM.DIST($D$10-1,$B$10,_xlfn.NORM.S.DIST((_xlfn.NORM.S.INV($C$10)-SQRT($D$3)*$A100)/SQRT(1-$D$3),TRUE),TRUE))</f>
        <v/>
      </c>
      <c r="G100">
        <f>IF($D$11=0,1,1-_xlfn.BINOM.DIST($D$11-1,$B$11,_xlfn.NORM.S.DIST((_xlfn.NORM.S.INV($C$11)-SQRT($D$3)*$A100)/SQRT(1-$D$3),TRUE),TRUE))</f>
        <v/>
      </c>
      <c r="H100">
        <f>IF($D$12=0,1,1-_xlfn.BINOM.DIST($D$12-1,$B$12,_xlfn.NORM.S.DIST((_xlfn.NORM.S.INV($C$12)-SQRT($D$3)*$A100)/SQRT(1-$D$3),TRUE),TRUE))</f>
        <v/>
      </c>
      <c r="I100">
        <f>IF($D$13=0,1,1-_xlfn.BINOM.DIST($D$13-1,$B$13,_xlfn.NORM.S.DIST((_xlfn.NORM.S.INV($C$13)-SQRT($D$3)*$A100)/SQRT(1-$D$3),TRUE),TRUE))</f>
        <v/>
      </c>
      <c r="J100">
        <f>IF($D$14=0,1,1-_xlfn.BINOM.DIST($D$14-1,$B$14,_xlfn.NORM.S.DIST((_xlfn.NORM.S.INV($C$14)-SQRT($D$3)*$A100)/SQRT(1-$D$3),TRUE),TRUE))</f>
        <v/>
      </c>
    </row>
    <row r="101">
      <c r="A101" t="n">
        <v>0.1</v>
      </c>
      <c r="B101">
        <f>1.0*0.1*EXP(-(A101^2)/2)/SQRT(2*PI())</f>
        <v/>
      </c>
      <c r="C101">
        <f>IF($D$7=0,1,1-_xlfn.BINOM.DIST($D$7-1,$B$7,_xlfn.NORM.S.DIST((_xlfn.NORM.S.INV($C$7)-SQRT($D$3)*$A101)/SQRT(1-$D$3),TRUE),TRUE))</f>
        <v/>
      </c>
      <c r="D101">
        <f>IF($D$8=0,1,1-_xlfn.BINOM.DIST($D$8-1,$B$8,_xlfn.NORM.S.DIST((_xlfn.NORM.S.INV($C$8)-SQRT($D$3)*$A101)/SQRT(1-$D$3),TRUE),TRUE))</f>
        <v/>
      </c>
      <c r="E101">
        <f>IF($D$9=0,1,1-_xlfn.BINOM.DIST($D$9-1,$B$9,_xlfn.NORM.S.DIST((_xlfn.NORM.S.INV($C$9)-SQRT($D$3)*$A101)/SQRT(1-$D$3),TRUE),TRUE))</f>
        <v/>
      </c>
      <c r="F101">
        <f>IF($D$10=0,1,1-_xlfn.BINOM.DIST($D$10-1,$B$10,_xlfn.NORM.S.DIST((_xlfn.NORM.S.INV($C$10)-SQRT($D$3)*$A101)/SQRT(1-$D$3),TRUE),TRUE))</f>
        <v/>
      </c>
      <c r="G101">
        <f>IF($D$11=0,1,1-_xlfn.BINOM.DIST($D$11-1,$B$11,_xlfn.NORM.S.DIST((_xlfn.NORM.S.INV($C$11)-SQRT($D$3)*$A101)/SQRT(1-$D$3),TRUE),TRUE))</f>
        <v/>
      </c>
      <c r="H101">
        <f>IF($D$12=0,1,1-_xlfn.BINOM.DIST($D$12-1,$B$12,_xlfn.NORM.S.DIST((_xlfn.NORM.S.INV($C$12)-SQRT($D$3)*$A101)/SQRT(1-$D$3),TRUE),TRUE))</f>
        <v/>
      </c>
      <c r="I101">
        <f>IF($D$13=0,1,1-_xlfn.BINOM.DIST($D$13-1,$B$13,_xlfn.NORM.S.DIST((_xlfn.NORM.S.INV($C$13)-SQRT($D$3)*$A101)/SQRT(1-$D$3),TRUE),TRUE))</f>
        <v/>
      </c>
      <c r="J101">
        <f>IF($D$14=0,1,1-_xlfn.BINOM.DIST($D$14-1,$B$14,_xlfn.NORM.S.DIST((_xlfn.NORM.S.INV($C$14)-SQRT($D$3)*$A101)/SQRT(1-$D$3),TRUE),TRUE))</f>
        <v/>
      </c>
    </row>
    <row r="102">
      <c r="A102" t="n">
        <v>0.2</v>
      </c>
      <c r="B102">
        <f>1.0*0.1*EXP(-(A102^2)/2)/SQRT(2*PI())</f>
        <v/>
      </c>
      <c r="C102">
        <f>IF($D$7=0,1,1-_xlfn.BINOM.DIST($D$7-1,$B$7,_xlfn.NORM.S.DIST((_xlfn.NORM.S.INV($C$7)-SQRT($D$3)*$A102)/SQRT(1-$D$3),TRUE),TRUE))</f>
        <v/>
      </c>
      <c r="D102">
        <f>IF($D$8=0,1,1-_xlfn.BINOM.DIST($D$8-1,$B$8,_xlfn.NORM.S.DIST((_xlfn.NORM.S.INV($C$8)-SQRT($D$3)*$A102)/SQRT(1-$D$3),TRUE),TRUE))</f>
        <v/>
      </c>
      <c r="E102">
        <f>IF($D$9=0,1,1-_xlfn.BINOM.DIST($D$9-1,$B$9,_xlfn.NORM.S.DIST((_xlfn.NORM.S.INV($C$9)-SQRT($D$3)*$A102)/SQRT(1-$D$3),TRUE),TRUE))</f>
        <v/>
      </c>
      <c r="F102">
        <f>IF($D$10=0,1,1-_xlfn.BINOM.DIST($D$10-1,$B$10,_xlfn.NORM.S.DIST((_xlfn.NORM.S.INV($C$10)-SQRT($D$3)*$A102)/SQRT(1-$D$3),TRUE),TRUE))</f>
        <v/>
      </c>
      <c r="G102">
        <f>IF($D$11=0,1,1-_xlfn.BINOM.DIST($D$11-1,$B$11,_xlfn.NORM.S.DIST((_xlfn.NORM.S.INV($C$11)-SQRT($D$3)*$A102)/SQRT(1-$D$3),TRUE),TRUE))</f>
        <v/>
      </c>
      <c r="H102">
        <f>IF($D$12=0,1,1-_xlfn.BINOM.DIST($D$12-1,$B$12,_xlfn.NORM.S.DIST((_xlfn.NORM.S.INV($C$12)-SQRT($D$3)*$A102)/SQRT(1-$D$3),TRUE),TRUE))</f>
        <v/>
      </c>
      <c r="I102">
        <f>IF($D$13=0,1,1-_xlfn.BINOM.DIST($D$13-1,$B$13,_xlfn.NORM.S.DIST((_xlfn.NORM.S.INV($C$13)-SQRT($D$3)*$A102)/SQRT(1-$D$3),TRUE),TRUE))</f>
        <v/>
      </c>
      <c r="J102">
        <f>IF($D$14=0,1,1-_xlfn.BINOM.DIST($D$14-1,$B$14,_xlfn.NORM.S.DIST((_xlfn.NORM.S.INV($C$14)-SQRT($D$3)*$A102)/SQRT(1-$D$3),TRUE),TRUE))</f>
        <v/>
      </c>
    </row>
    <row r="103">
      <c r="A103" t="n">
        <v>0.3</v>
      </c>
      <c r="B103">
        <f>1.0*0.1*EXP(-(A103^2)/2)/SQRT(2*PI())</f>
        <v/>
      </c>
      <c r="C103">
        <f>IF($D$7=0,1,1-_xlfn.BINOM.DIST($D$7-1,$B$7,_xlfn.NORM.S.DIST((_xlfn.NORM.S.INV($C$7)-SQRT($D$3)*$A103)/SQRT(1-$D$3),TRUE),TRUE))</f>
        <v/>
      </c>
      <c r="D103">
        <f>IF($D$8=0,1,1-_xlfn.BINOM.DIST($D$8-1,$B$8,_xlfn.NORM.S.DIST((_xlfn.NORM.S.INV($C$8)-SQRT($D$3)*$A103)/SQRT(1-$D$3),TRUE),TRUE))</f>
        <v/>
      </c>
      <c r="E103">
        <f>IF($D$9=0,1,1-_xlfn.BINOM.DIST($D$9-1,$B$9,_xlfn.NORM.S.DIST((_xlfn.NORM.S.INV($C$9)-SQRT($D$3)*$A103)/SQRT(1-$D$3),TRUE),TRUE))</f>
        <v/>
      </c>
      <c r="F103">
        <f>IF($D$10=0,1,1-_xlfn.BINOM.DIST($D$10-1,$B$10,_xlfn.NORM.S.DIST((_xlfn.NORM.S.INV($C$10)-SQRT($D$3)*$A103)/SQRT(1-$D$3),TRUE),TRUE))</f>
        <v/>
      </c>
      <c r="G103">
        <f>IF($D$11=0,1,1-_xlfn.BINOM.DIST($D$11-1,$B$11,_xlfn.NORM.S.DIST((_xlfn.NORM.S.INV($C$11)-SQRT($D$3)*$A103)/SQRT(1-$D$3),TRUE),TRUE))</f>
        <v/>
      </c>
      <c r="H103">
        <f>IF($D$12=0,1,1-_xlfn.BINOM.DIST($D$12-1,$B$12,_xlfn.NORM.S.DIST((_xlfn.NORM.S.INV($C$12)-SQRT($D$3)*$A103)/SQRT(1-$D$3),TRUE),TRUE))</f>
        <v/>
      </c>
      <c r="I103">
        <f>IF($D$13=0,1,1-_xlfn.BINOM.DIST($D$13-1,$B$13,_xlfn.NORM.S.DIST((_xlfn.NORM.S.INV($C$13)-SQRT($D$3)*$A103)/SQRT(1-$D$3),TRUE),TRUE))</f>
        <v/>
      </c>
      <c r="J103">
        <f>IF($D$14=0,1,1-_xlfn.BINOM.DIST($D$14-1,$B$14,_xlfn.NORM.S.DIST((_xlfn.NORM.S.INV($C$14)-SQRT($D$3)*$A103)/SQRT(1-$D$3),TRUE),TRUE))</f>
        <v/>
      </c>
    </row>
    <row r="104">
      <c r="A104" t="n">
        <v>0.4</v>
      </c>
      <c r="B104">
        <f>1.0*0.1*EXP(-(A104^2)/2)/SQRT(2*PI())</f>
        <v/>
      </c>
      <c r="C104">
        <f>IF($D$7=0,1,1-_xlfn.BINOM.DIST($D$7-1,$B$7,_xlfn.NORM.S.DIST((_xlfn.NORM.S.INV($C$7)-SQRT($D$3)*$A104)/SQRT(1-$D$3),TRUE),TRUE))</f>
        <v/>
      </c>
      <c r="D104">
        <f>IF($D$8=0,1,1-_xlfn.BINOM.DIST($D$8-1,$B$8,_xlfn.NORM.S.DIST((_xlfn.NORM.S.INV($C$8)-SQRT($D$3)*$A104)/SQRT(1-$D$3),TRUE),TRUE))</f>
        <v/>
      </c>
      <c r="E104">
        <f>IF($D$9=0,1,1-_xlfn.BINOM.DIST($D$9-1,$B$9,_xlfn.NORM.S.DIST((_xlfn.NORM.S.INV($C$9)-SQRT($D$3)*$A104)/SQRT(1-$D$3),TRUE),TRUE))</f>
        <v/>
      </c>
      <c r="F104">
        <f>IF($D$10=0,1,1-_xlfn.BINOM.DIST($D$10-1,$B$10,_xlfn.NORM.S.DIST((_xlfn.NORM.S.INV($C$10)-SQRT($D$3)*$A104)/SQRT(1-$D$3),TRUE),TRUE))</f>
        <v/>
      </c>
      <c r="G104">
        <f>IF($D$11=0,1,1-_xlfn.BINOM.DIST($D$11-1,$B$11,_xlfn.NORM.S.DIST((_xlfn.NORM.S.INV($C$11)-SQRT($D$3)*$A104)/SQRT(1-$D$3),TRUE),TRUE))</f>
        <v/>
      </c>
      <c r="H104">
        <f>IF($D$12=0,1,1-_xlfn.BINOM.DIST($D$12-1,$B$12,_xlfn.NORM.S.DIST((_xlfn.NORM.S.INV($C$12)-SQRT($D$3)*$A104)/SQRT(1-$D$3),TRUE),TRUE))</f>
        <v/>
      </c>
      <c r="I104">
        <f>IF($D$13=0,1,1-_xlfn.BINOM.DIST($D$13-1,$B$13,_xlfn.NORM.S.DIST((_xlfn.NORM.S.INV($C$13)-SQRT($D$3)*$A104)/SQRT(1-$D$3),TRUE),TRUE))</f>
        <v/>
      </c>
      <c r="J104">
        <f>IF($D$14=0,1,1-_xlfn.BINOM.DIST($D$14-1,$B$14,_xlfn.NORM.S.DIST((_xlfn.NORM.S.INV($C$14)-SQRT($D$3)*$A104)/SQRT(1-$D$3),TRUE),TRUE))</f>
        <v/>
      </c>
    </row>
    <row r="105">
      <c r="A105" t="n">
        <v>0.5</v>
      </c>
      <c r="B105">
        <f>1.0*0.1*EXP(-(A105^2)/2)/SQRT(2*PI())</f>
        <v/>
      </c>
      <c r="C105">
        <f>IF($D$7=0,1,1-_xlfn.BINOM.DIST($D$7-1,$B$7,_xlfn.NORM.S.DIST((_xlfn.NORM.S.INV($C$7)-SQRT($D$3)*$A105)/SQRT(1-$D$3),TRUE),TRUE))</f>
        <v/>
      </c>
      <c r="D105">
        <f>IF($D$8=0,1,1-_xlfn.BINOM.DIST($D$8-1,$B$8,_xlfn.NORM.S.DIST((_xlfn.NORM.S.INV($C$8)-SQRT($D$3)*$A105)/SQRT(1-$D$3),TRUE),TRUE))</f>
        <v/>
      </c>
      <c r="E105">
        <f>IF($D$9=0,1,1-_xlfn.BINOM.DIST($D$9-1,$B$9,_xlfn.NORM.S.DIST((_xlfn.NORM.S.INV($C$9)-SQRT($D$3)*$A105)/SQRT(1-$D$3),TRUE),TRUE))</f>
        <v/>
      </c>
      <c r="F105">
        <f>IF($D$10=0,1,1-_xlfn.BINOM.DIST($D$10-1,$B$10,_xlfn.NORM.S.DIST((_xlfn.NORM.S.INV($C$10)-SQRT($D$3)*$A105)/SQRT(1-$D$3),TRUE),TRUE))</f>
        <v/>
      </c>
      <c r="G105">
        <f>IF($D$11=0,1,1-_xlfn.BINOM.DIST($D$11-1,$B$11,_xlfn.NORM.S.DIST((_xlfn.NORM.S.INV($C$11)-SQRT($D$3)*$A105)/SQRT(1-$D$3),TRUE),TRUE))</f>
        <v/>
      </c>
      <c r="H105">
        <f>IF($D$12=0,1,1-_xlfn.BINOM.DIST($D$12-1,$B$12,_xlfn.NORM.S.DIST((_xlfn.NORM.S.INV($C$12)-SQRT($D$3)*$A105)/SQRT(1-$D$3),TRUE),TRUE))</f>
        <v/>
      </c>
      <c r="I105">
        <f>IF($D$13=0,1,1-_xlfn.BINOM.DIST($D$13-1,$B$13,_xlfn.NORM.S.DIST((_xlfn.NORM.S.INV($C$13)-SQRT($D$3)*$A105)/SQRT(1-$D$3),TRUE),TRUE))</f>
        <v/>
      </c>
      <c r="J105">
        <f>IF($D$14=0,1,1-_xlfn.BINOM.DIST($D$14-1,$B$14,_xlfn.NORM.S.DIST((_xlfn.NORM.S.INV($C$14)-SQRT($D$3)*$A105)/SQRT(1-$D$3),TRUE),TRUE))</f>
        <v/>
      </c>
    </row>
    <row r="106">
      <c r="A106" t="n">
        <v>0.6</v>
      </c>
      <c r="B106">
        <f>1.0*0.1*EXP(-(A106^2)/2)/SQRT(2*PI())</f>
        <v/>
      </c>
      <c r="C106">
        <f>IF($D$7=0,1,1-_xlfn.BINOM.DIST($D$7-1,$B$7,_xlfn.NORM.S.DIST((_xlfn.NORM.S.INV($C$7)-SQRT($D$3)*$A106)/SQRT(1-$D$3),TRUE),TRUE))</f>
        <v/>
      </c>
      <c r="D106">
        <f>IF($D$8=0,1,1-_xlfn.BINOM.DIST($D$8-1,$B$8,_xlfn.NORM.S.DIST((_xlfn.NORM.S.INV($C$8)-SQRT($D$3)*$A106)/SQRT(1-$D$3),TRUE),TRUE))</f>
        <v/>
      </c>
      <c r="E106">
        <f>IF($D$9=0,1,1-_xlfn.BINOM.DIST($D$9-1,$B$9,_xlfn.NORM.S.DIST((_xlfn.NORM.S.INV($C$9)-SQRT($D$3)*$A106)/SQRT(1-$D$3),TRUE),TRUE))</f>
        <v/>
      </c>
      <c r="F106">
        <f>IF($D$10=0,1,1-_xlfn.BINOM.DIST($D$10-1,$B$10,_xlfn.NORM.S.DIST((_xlfn.NORM.S.INV($C$10)-SQRT($D$3)*$A106)/SQRT(1-$D$3),TRUE),TRUE))</f>
        <v/>
      </c>
      <c r="G106">
        <f>IF($D$11=0,1,1-_xlfn.BINOM.DIST($D$11-1,$B$11,_xlfn.NORM.S.DIST((_xlfn.NORM.S.INV($C$11)-SQRT($D$3)*$A106)/SQRT(1-$D$3),TRUE),TRUE))</f>
        <v/>
      </c>
      <c r="H106">
        <f>IF($D$12=0,1,1-_xlfn.BINOM.DIST($D$12-1,$B$12,_xlfn.NORM.S.DIST((_xlfn.NORM.S.INV($C$12)-SQRT($D$3)*$A106)/SQRT(1-$D$3),TRUE),TRUE))</f>
        <v/>
      </c>
      <c r="I106">
        <f>IF($D$13=0,1,1-_xlfn.BINOM.DIST($D$13-1,$B$13,_xlfn.NORM.S.DIST((_xlfn.NORM.S.INV($C$13)-SQRT($D$3)*$A106)/SQRT(1-$D$3),TRUE),TRUE))</f>
        <v/>
      </c>
      <c r="J106">
        <f>IF($D$14=0,1,1-_xlfn.BINOM.DIST($D$14-1,$B$14,_xlfn.NORM.S.DIST((_xlfn.NORM.S.INV($C$14)-SQRT($D$3)*$A106)/SQRT(1-$D$3),TRUE),TRUE))</f>
        <v/>
      </c>
    </row>
    <row r="107">
      <c r="A107" t="n">
        <v>0.7</v>
      </c>
      <c r="B107">
        <f>1.0*0.1*EXP(-(A107^2)/2)/SQRT(2*PI())</f>
        <v/>
      </c>
      <c r="C107">
        <f>IF($D$7=0,1,1-_xlfn.BINOM.DIST($D$7-1,$B$7,_xlfn.NORM.S.DIST((_xlfn.NORM.S.INV($C$7)-SQRT($D$3)*$A107)/SQRT(1-$D$3),TRUE),TRUE))</f>
        <v/>
      </c>
      <c r="D107">
        <f>IF($D$8=0,1,1-_xlfn.BINOM.DIST($D$8-1,$B$8,_xlfn.NORM.S.DIST((_xlfn.NORM.S.INV($C$8)-SQRT($D$3)*$A107)/SQRT(1-$D$3),TRUE),TRUE))</f>
        <v/>
      </c>
      <c r="E107">
        <f>IF($D$9=0,1,1-_xlfn.BINOM.DIST($D$9-1,$B$9,_xlfn.NORM.S.DIST((_xlfn.NORM.S.INV($C$9)-SQRT($D$3)*$A107)/SQRT(1-$D$3),TRUE),TRUE))</f>
        <v/>
      </c>
      <c r="F107">
        <f>IF($D$10=0,1,1-_xlfn.BINOM.DIST($D$10-1,$B$10,_xlfn.NORM.S.DIST((_xlfn.NORM.S.INV($C$10)-SQRT($D$3)*$A107)/SQRT(1-$D$3),TRUE),TRUE))</f>
        <v/>
      </c>
      <c r="G107">
        <f>IF($D$11=0,1,1-_xlfn.BINOM.DIST($D$11-1,$B$11,_xlfn.NORM.S.DIST((_xlfn.NORM.S.INV($C$11)-SQRT($D$3)*$A107)/SQRT(1-$D$3),TRUE),TRUE))</f>
        <v/>
      </c>
      <c r="H107">
        <f>IF($D$12=0,1,1-_xlfn.BINOM.DIST($D$12-1,$B$12,_xlfn.NORM.S.DIST((_xlfn.NORM.S.INV($C$12)-SQRT($D$3)*$A107)/SQRT(1-$D$3),TRUE),TRUE))</f>
        <v/>
      </c>
      <c r="I107">
        <f>IF($D$13=0,1,1-_xlfn.BINOM.DIST($D$13-1,$B$13,_xlfn.NORM.S.DIST((_xlfn.NORM.S.INV($C$13)-SQRT($D$3)*$A107)/SQRT(1-$D$3),TRUE),TRUE))</f>
        <v/>
      </c>
      <c r="J107">
        <f>IF($D$14=0,1,1-_xlfn.BINOM.DIST($D$14-1,$B$14,_xlfn.NORM.S.DIST((_xlfn.NORM.S.INV($C$14)-SQRT($D$3)*$A107)/SQRT(1-$D$3),TRUE),TRUE))</f>
        <v/>
      </c>
    </row>
    <row r="108">
      <c r="A108" t="n">
        <v>0.8</v>
      </c>
      <c r="B108">
        <f>1.0*0.1*EXP(-(A108^2)/2)/SQRT(2*PI())</f>
        <v/>
      </c>
      <c r="C108">
        <f>IF($D$7=0,1,1-_xlfn.BINOM.DIST($D$7-1,$B$7,_xlfn.NORM.S.DIST((_xlfn.NORM.S.INV($C$7)-SQRT($D$3)*$A108)/SQRT(1-$D$3),TRUE),TRUE))</f>
        <v/>
      </c>
      <c r="D108">
        <f>IF($D$8=0,1,1-_xlfn.BINOM.DIST($D$8-1,$B$8,_xlfn.NORM.S.DIST((_xlfn.NORM.S.INV($C$8)-SQRT($D$3)*$A108)/SQRT(1-$D$3),TRUE),TRUE))</f>
        <v/>
      </c>
      <c r="E108">
        <f>IF($D$9=0,1,1-_xlfn.BINOM.DIST($D$9-1,$B$9,_xlfn.NORM.S.DIST((_xlfn.NORM.S.INV($C$9)-SQRT($D$3)*$A108)/SQRT(1-$D$3),TRUE),TRUE))</f>
        <v/>
      </c>
      <c r="F108">
        <f>IF($D$10=0,1,1-_xlfn.BINOM.DIST($D$10-1,$B$10,_xlfn.NORM.S.DIST((_xlfn.NORM.S.INV($C$10)-SQRT($D$3)*$A108)/SQRT(1-$D$3),TRUE),TRUE))</f>
        <v/>
      </c>
      <c r="G108">
        <f>IF($D$11=0,1,1-_xlfn.BINOM.DIST($D$11-1,$B$11,_xlfn.NORM.S.DIST((_xlfn.NORM.S.INV($C$11)-SQRT($D$3)*$A108)/SQRT(1-$D$3),TRUE),TRUE))</f>
        <v/>
      </c>
      <c r="H108">
        <f>IF($D$12=0,1,1-_xlfn.BINOM.DIST($D$12-1,$B$12,_xlfn.NORM.S.DIST((_xlfn.NORM.S.INV($C$12)-SQRT($D$3)*$A108)/SQRT(1-$D$3),TRUE),TRUE))</f>
        <v/>
      </c>
      <c r="I108">
        <f>IF($D$13=0,1,1-_xlfn.BINOM.DIST($D$13-1,$B$13,_xlfn.NORM.S.DIST((_xlfn.NORM.S.INV($C$13)-SQRT($D$3)*$A108)/SQRT(1-$D$3),TRUE),TRUE))</f>
        <v/>
      </c>
      <c r="J108">
        <f>IF($D$14=0,1,1-_xlfn.BINOM.DIST($D$14-1,$B$14,_xlfn.NORM.S.DIST((_xlfn.NORM.S.INV($C$14)-SQRT($D$3)*$A108)/SQRT(1-$D$3),TRUE),TRUE))</f>
        <v/>
      </c>
    </row>
    <row r="109">
      <c r="A109" t="n">
        <v>0.9</v>
      </c>
      <c r="B109">
        <f>1.0*0.1*EXP(-(A109^2)/2)/SQRT(2*PI())</f>
        <v/>
      </c>
      <c r="C109">
        <f>IF($D$7=0,1,1-_xlfn.BINOM.DIST($D$7-1,$B$7,_xlfn.NORM.S.DIST((_xlfn.NORM.S.INV($C$7)-SQRT($D$3)*$A109)/SQRT(1-$D$3),TRUE),TRUE))</f>
        <v/>
      </c>
      <c r="D109">
        <f>IF($D$8=0,1,1-_xlfn.BINOM.DIST($D$8-1,$B$8,_xlfn.NORM.S.DIST((_xlfn.NORM.S.INV($C$8)-SQRT($D$3)*$A109)/SQRT(1-$D$3),TRUE),TRUE))</f>
        <v/>
      </c>
      <c r="E109">
        <f>IF($D$9=0,1,1-_xlfn.BINOM.DIST($D$9-1,$B$9,_xlfn.NORM.S.DIST((_xlfn.NORM.S.INV($C$9)-SQRT($D$3)*$A109)/SQRT(1-$D$3),TRUE),TRUE))</f>
        <v/>
      </c>
      <c r="F109">
        <f>IF($D$10=0,1,1-_xlfn.BINOM.DIST($D$10-1,$B$10,_xlfn.NORM.S.DIST((_xlfn.NORM.S.INV($C$10)-SQRT($D$3)*$A109)/SQRT(1-$D$3),TRUE),TRUE))</f>
        <v/>
      </c>
      <c r="G109">
        <f>IF($D$11=0,1,1-_xlfn.BINOM.DIST($D$11-1,$B$11,_xlfn.NORM.S.DIST((_xlfn.NORM.S.INV($C$11)-SQRT($D$3)*$A109)/SQRT(1-$D$3),TRUE),TRUE))</f>
        <v/>
      </c>
      <c r="H109">
        <f>IF($D$12=0,1,1-_xlfn.BINOM.DIST($D$12-1,$B$12,_xlfn.NORM.S.DIST((_xlfn.NORM.S.INV($C$12)-SQRT($D$3)*$A109)/SQRT(1-$D$3),TRUE),TRUE))</f>
        <v/>
      </c>
      <c r="I109">
        <f>IF($D$13=0,1,1-_xlfn.BINOM.DIST($D$13-1,$B$13,_xlfn.NORM.S.DIST((_xlfn.NORM.S.INV($C$13)-SQRT($D$3)*$A109)/SQRT(1-$D$3),TRUE),TRUE))</f>
        <v/>
      </c>
      <c r="J109">
        <f>IF($D$14=0,1,1-_xlfn.BINOM.DIST($D$14-1,$B$14,_xlfn.NORM.S.DIST((_xlfn.NORM.S.INV($C$14)-SQRT($D$3)*$A109)/SQRT(1-$D$3),TRUE),TRUE))</f>
        <v/>
      </c>
    </row>
    <row r="110">
      <c r="A110" t="n">
        <v>1</v>
      </c>
      <c r="B110">
        <f>1.0*0.1*EXP(-(A110^2)/2)/SQRT(2*PI())</f>
        <v/>
      </c>
      <c r="C110">
        <f>IF($D$7=0,1,1-_xlfn.BINOM.DIST($D$7-1,$B$7,_xlfn.NORM.S.DIST((_xlfn.NORM.S.INV($C$7)-SQRT($D$3)*$A110)/SQRT(1-$D$3),TRUE),TRUE))</f>
        <v/>
      </c>
      <c r="D110">
        <f>IF($D$8=0,1,1-_xlfn.BINOM.DIST($D$8-1,$B$8,_xlfn.NORM.S.DIST((_xlfn.NORM.S.INV($C$8)-SQRT($D$3)*$A110)/SQRT(1-$D$3),TRUE),TRUE))</f>
        <v/>
      </c>
      <c r="E110">
        <f>IF($D$9=0,1,1-_xlfn.BINOM.DIST($D$9-1,$B$9,_xlfn.NORM.S.DIST((_xlfn.NORM.S.INV($C$9)-SQRT($D$3)*$A110)/SQRT(1-$D$3),TRUE),TRUE))</f>
        <v/>
      </c>
      <c r="F110">
        <f>IF($D$10=0,1,1-_xlfn.BINOM.DIST($D$10-1,$B$10,_xlfn.NORM.S.DIST((_xlfn.NORM.S.INV($C$10)-SQRT($D$3)*$A110)/SQRT(1-$D$3),TRUE),TRUE))</f>
        <v/>
      </c>
      <c r="G110">
        <f>IF($D$11=0,1,1-_xlfn.BINOM.DIST($D$11-1,$B$11,_xlfn.NORM.S.DIST((_xlfn.NORM.S.INV($C$11)-SQRT($D$3)*$A110)/SQRT(1-$D$3),TRUE),TRUE))</f>
        <v/>
      </c>
      <c r="H110">
        <f>IF($D$12=0,1,1-_xlfn.BINOM.DIST($D$12-1,$B$12,_xlfn.NORM.S.DIST((_xlfn.NORM.S.INV($C$12)-SQRT($D$3)*$A110)/SQRT(1-$D$3),TRUE),TRUE))</f>
        <v/>
      </c>
      <c r="I110">
        <f>IF($D$13=0,1,1-_xlfn.BINOM.DIST($D$13-1,$B$13,_xlfn.NORM.S.DIST((_xlfn.NORM.S.INV($C$13)-SQRT($D$3)*$A110)/SQRT(1-$D$3),TRUE),TRUE))</f>
        <v/>
      </c>
      <c r="J110">
        <f>IF($D$14=0,1,1-_xlfn.BINOM.DIST($D$14-1,$B$14,_xlfn.NORM.S.DIST((_xlfn.NORM.S.INV($C$14)-SQRT($D$3)*$A110)/SQRT(1-$D$3),TRUE),TRUE))</f>
        <v/>
      </c>
    </row>
    <row r="111">
      <c r="A111" t="n">
        <v>1.1</v>
      </c>
      <c r="B111">
        <f>1.0*0.1*EXP(-(A111^2)/2)/SQRT(2*PI())</f>
        <v/>
      </c>
      <c r="C111">
        <f>IF($D$7=0,1,1-_xlfn.BINOM.DIST($D$7-1,$B$7,_xlfn.NORM.S.DIST((_xlfn.NORM.S.INV($C$7)-SQRT($D$3)*$A111)/SQRT(1-$D$3),TRUE),TRUE))</f>
        <v/>
      </c>
      <c r="D111">
        <f>IF($D$8=0,1,1-_xlfn.BINOM.DIST($D$8-1,$B$8,_xlfn.NORM.S.DIST((_xlfn.NORM.S.INV($C$8)-SQRT($D$3)*$A111)/SQRT(1-$D$3),TRUE),TRUE))</f>
        <v/>
      </c>
      <c r="E111">
        <f>IF($D$9=0,1,1-_xlfn.BINOM.DIST($D$9-1,$B$9,_xlfn.NORM.S.DIST((_xlfn.NORM.S.INV($C$9)-SQRT($D$3)*$A111)/SQRT(1-$D$3),TRUE),TRUE))</f>
        <v/>
      </c>
      <c r="F111">
        <f>IF($D$10=0,1,1-_xlfn.BINOM.DIST($D$10-1,$B$10,_xlfn.NORM.S.DIST((_xlfn.NORM.S.INV($C$10)-SQRT($D$3)*$A111)/SQRT(1-$D$3),TRUE),TRUE))</f>
        <v/>
      </c>
      <c r="G111">
        <f>IF($D$11=0,1,1-_xlfn.BINOM.DIST($D$11-1,$B$11,_xlfn.NORM.S.DIST((_xlfn.NORM.S.INV($C$11)-SQRT($D$3)*$A111)/SQRT(1-$D$3),TRUE),TRUE))</f>
        <v/>
      </c>
      <c r="H111">
        <f>IF($D$12=0,1,1-_xlfn.BINOM.DIST($D$12-1,$B$12,_xlfn.NORM.S.DIST((_xlfn.NORM.S.INV($C$12)-SQRT($D$3)*$A111)/SQRT(1-$D$3),TRUE),TRUE))</f>
        <v/>
      </c>
      <c r="I111">
        <f>IF($D$13=0,1,1-_xlfn.BINOM.DIST($D$13-1,$B$13,_xlfn.NORM.S.DIST((_xlfn.NORM.S.INV($C$13)-SQRT($D$3)*$A111)/SQRT(1-$D$3),TRUE),TRUE))</f>
        <v/>
      </c>
      <c r="J111">
        <f>IF($D$14=0,1,1-_xlfn.BINOM.DIST($D$14-1,$B$14,_xlfn.NORM.S.DIST((_xlfn.NORM.S.INV($C$14)-SQRT($D$3)*$A111)/SQRT(1-$D$3),TRUE),TRUE))</f>
        <v/>
      </c>
    </row>
    <row r="112">
      <c r="A112" t="n">
        <v>1.2</v>
      </c>
      <c r="B112">
        <f>1.0*0.1*EXP(-(A112^2)/2)/SQRT(2*PI())</f>
        <v/>
      </c>
      <c r="C112">
        <f>IF($D$7=0,1,1-_xlfn.BINOM.DIST($D$7-1,$B$7,_xlfn.NORM.S.DIST((_xlfn.NORM.S.INV($C$7)-SQRT($D$3)*$A112)/SQRT(1-$D$3),TRUE),TRUE))</f>
        <v/>
      </c>
      <c r="D112">
        <f>IF($D$8=0,1,1-_xlfn.BINOM.DIST($D$8-1,$B$8,_xlfn.NORM.S.DIST((_xlfn.NORM.S.INV($C$8)-SQRT($D$3)*$A112)/SQRT(1-$D$3),TRUE),TRUE))</f>
        <v/>
      </c>
      <c r="E112">
        <f>IF($D$9=0,1,1-_xlfn.BINOM.DIST($D$9-1,$B$9,_xlfn.NORM.S.DIST((_xlfn.NORM.S.INV($C$9)-SQRT($D$3)*$A112)/SQRT(1-$D$3),TRUE),TRUE))</f>
        <v/>
      </c>
      <c r="F112">
        <f>IF($D$10=0,1,1-_xlfn.BINOM.DIST($D$10-1,$B$10,_xlfn.NORM.S.DIST((_xlfn.NORM.S.INV($C$10)-SQRT($D$3)*$A112)/SQRT(1-$D$3),TRUE),TRUE))</f>
        <v/>
      </c>
      <c r="G112">
        <f>IF($D$11=0,1,1-_xlfn.BINOM.DIST($D$11-1,$B$11,_xlfn.NORM.S.DIST((_xlfn.NORM.S.INV($C$11)-SQRT($D$3)*$A112)/SQRT(1-$D$3),TRUE),TRUE))</f>
        <v/>
      </c>
      <c r="H112">
        <f>IF($D$12=0,1,1-_xlfn.BINOM.DIST($D$12-1,$B$12,_xlfn.NORM.S.DIST((_xlfn.NORM.S.INV($C$12)-SQRT($D$3)*$A112)/SQRT(1-$D$3),TRUE),TRUE))</f>
        <v/>
      </c>
      <c r="I112">
        <f>IF($D$13=0,1,1-_xlfn.BINOM.DIST($D$13-1,$B$13,_xlfn.NORM.S.DIST((_xlfn.NORM.S.INV($C$13)-SQRT($D$3)*$A112)/SQRT(1-$D$3),TRUE),TRUE))</f>
        <v/>
      </c>
      <c r="J112">
        <f>IF($D$14=0,1,1-_xlfn.BINOM.DIST($D$14-1,$B$14,_xlfn.NORM.S.DIST((_xlfn.NORM.S.INV($C$14)-SQRT($D$3)*$A112)/SQRT(1-$D$3),TRUE),TRUE))</f>
        <v/>
      </c>
    </row>
    <row r="113">
      <c r="A113" t="n">
        <v>1.3</v>
      </c>
      <c r="B113">
        <f>1.0*0.1*EXP(-(A113^2)/2)/SQRT(2*PI())</f>
        <v/>
      </c>
      <c r="C113">
        <f>IF($D$7=0,1,1-_xlfn.BINOM.DIST($D$7-1,$B$7,_xlfn.NORM.S.DIST((_xlfn.NORM.S.INV($C$7)-SQRT($D$3)*$A113)/SQRT(1-$D$3),TRUE),TRUE))</f>
        <v/>
      </c>
      <c r="D113">
        <f>IF($D$8=0,1,1-_xlfn.BINOM.DIST($D$8-1,$B$8,_xlfn.NORM.S.DIST((_xlfn.NORM.S.INV($C$8)-SQRT($D$3)*$A113)/SQRT(1-$D$3),TRUE),TRUE))</f>
        <v/>
      </c>
      <c r="E113">
        <f>IF($D$9=0,1,1-_xlfn.BINOM.DIST($D$9-1,$B$9,_xlfn.NORM.S.DIST((_xlfn.NORM.S.INV($C$9)-SQRT($D$3)*$A113)/SQRT(1-$D$3),TRUE),TRUE))</f>
        <v/>
      </c>
      <c r="F113">
        <f>IF($D$10=0,1,1-_xlfn.BINOM.DIST($D$10-1,$B$10,_xlfn.NORM.S.DIST((_xlfn.NORM.S.INV($C$10)-SQRT($D$3)*$A113)/SQRT(1-$D$3),TRUE),TRUE))</f>
        <v/>
      </c>
      <c r="G113">
        <f>IF($D$11=0,1,1-_xlfn.BINOM.DIST($D$11-1,$B$11,_xlfn.NORM.S.DIST((_xlfn.NORM.S.INV($C$11)-SQRT($D$3)*$A113)/SQRT(1-$D$3),TRUE),TRUE))</f>
        <v/>
      </c>
      <c r="H113">
        <f>IF($D$12=0,1,1-_xlfn.BINOM.DIST($D$12-1,$B$12,_xlfn.NORM.S.DIST((_xlfn.NORM.S.INV($C$12)-SQRT($D$3)*$A113)/SQRT(1-$D$3),TRUE),TRUE))</f>
        <v/>
      </c>
      <c r="I113">
        <f>IF($D$13=0,1,1-_xlfn.BINOM.DIST($D$13-1,$B$13,_xlfn.NORM.S.DIST((_xlfn.NORM.S.INV($C$13)-SQRT($D$3)*$A113)/SQRT(1-$D$3),TRUE),TRUE))</f>
        <v/>
      </c>
      <c r="J113">
        <f>IF($D$14=0,1,1-_xlfn.BINOM.DIST($D$14-1,$B$14,_xlfn.NORM.S.DIST((_xlfn.NORM.S.INV($C$14)-SQRT($D$3)*$A113)/SQRT(1-$D$3),TRUE),TRUE))</f>
        <v/>
      </c>
    </row>
    <row r="114">
      <c r="A114" t="n">
        <v>1.4</v>
      </c>
      <c r="B114">
        <f>1.0*0.1*EXP(-(A114^2)/2)/SQRT(2*PI())</f>
        <v/>
      </c>
      <c r="C114">
        <f>IF($D$7=0,1,1-_xlfn.BINOM.DIST($D$7-1,$B$7,_xlfn.NORM.S.DIST((_xlfn.NORM.S.INV($C$7)-SQRT($D$3)*$A114)/SQRT(1-$D$3),TRUE),TRUE))</f>
        <v/>
      </c>
      <c r="D114">
        <f>IF($D$8=0,1,1-_xlfn.BINOM.DIST($D$8-1,$B$8,_xlfn.NORM.S.DIST((_xlfn.NORM.S.INV($C$8)-SQRT($D$3)*$A114)/SQRT(1-$D$3),TRUE),TRUE))</f>
        <v/>
      </c>
      <c r="E114">
        <f>IF($D$9=0,1,1-_xlfn.BINOM.DIST($D$9-1,$B$9,_xlfn.NORM.S.DIST((_xlfn.NORM.S.INV($C$9)-SQRT($D$3)*$A114)/SQRT(1-$D$3),TRUE),TRUE))</f>
        <v/>
      </c>
      <c r="F114">
        <f>IF($D$10=0,1,1-_xlfn.BINOM.DIST($D$10-1,$B$10,_xlfn.NORM.S.DIST((_xlfn.NORM.S.INV($C$10)-SQRT($D$3)*$A114)/SQRT(1-$D$3),TRUE),TRUE))</f>
        <v/>
      </c>
      <c r="G114">
        <f>IF($D$11=0,1,1-_xlfn.BINOM.DIST($D$11-1,$B$11,_xlfn.NORM.S.DIST((_xlfn.NORM.S.INV($C$11)-SQRT($D$3)*$A114)/SQRT(1-$D$3),TRUE),TRUE))</f>
        <v/>
      </c>
      <c r="H114">
        <f>IF($D$12=0,1,1-_xlfn.BINOM.DIST($D$12-1,$B$12,_xlfn.NORM.S.DIST((_xlfn.NORM.S.INV($C$12)-SQRT($D$3)*$A114)/SQRT(1-$D$3),TRUE),TRUE))</f>
        <v/>
      </c>
      <c r="I114">
        <f>IF($D$13=0,1,1-_xlfn.BINOM.DIST($D$13-1,$B$13,_xlfn.NORM.S.DIST((_xlfn.NORM.S.INV($C$13)-SQRT($D$3)*$A114)/SQRT(1-$D$3),TRUE),TRUE))</f>
        <v/>
      </c>
      <c r="J114">
        <f>IF($D$14=0,1,1-_xlfn.BINOM.DIST($D$14-1,$B$14,_xlfn.NORM.S.DIST((_xlfn.NORM.S.INV($C$14)-SQRT($D$3)*$A114)/SQRT(1-$D$3),TRUE),TRUE))</f>
        <v/>
      </c>
    </row>
    <row r="115">
      <c r="A115" t="n">
        <v>1.5</v>
      </c>
      <c r="B115">
        <f>1.0*0.1*EXP(-(A115^2)/2)/SQRT(2*PI())</f>
        <v/>
      </c>
      <c r="C115">
        <f>IF($D$7=0,1,1-_xlfn.BINOM.DIST($D$7-1,$B$7,_xlfn.NORM.S.DIST((_xlfn.NORM.S.INV($C$7)-SQRT($D$3)*$A115)/SQRT(1-$D$3),TRUE),TRUE))</f>
        <v/>
      </c>
      <c r="D115">
        <f>IF($D$8=0,1,1-_xlfn.BINOM.DIST($D$8-1,$B$8,_xlfn.NORM.S.DIST((_xlfn.NORM.S.INV($C$8)-SQRT($D$3)*$A115)/SQRT(1-$D$3),TRUE),TRUE))</f>
        <v/>
      </c>
      <c r="E115">
        <f>IF($D$9=0,1,1-_xlfn.BINOM.DIST($D$9-1,$B$9,_xlfn.NORM.S.DIST((_xlfn.NORM.S.INV($C$9)-SQRT($D$3)*$A115)/SQRT(1-$D$3),TRUE),TRUE))</f>
        <v/>
      </c>
      <c r="F115">
        <f>IF($D$10=0,1,1-_xlfn.BINOM.DIST($D$10-1,$B$10,_xlfn.NORM.S.DIST((_xlfn.NORM.S.INV($C$10)-SQRT($D$3)*$A115)/SQRT(1-$D$3),TRUE),TRUE))</f>
        <v/>
      </c>
      <c r="G115">
        <f>IF($D$11=0,1,1-_xlfn.BINOM.DIST($D$11-1,$B$11,_xlfn.NORM.S.DIST((_xlfn.NORM.S.INV($C$11)-SQRT($D$3)*$A115)/SQRT(1-$D$3),TRUE),TRUE))</f>
        <v/>
      </c>
      <c r="H115">
        <f>IF($D$12=0,1,1-_xlfn.BINOM.DIST($D$12-1,$B$12,_xlfn.NORM.S.DIST((_xlfn.NORM.S.INV($C$12)-SQRT($D$3)*$A115)/SQRT(1-$D$3),TRUE),TRUE))</f>
        <v/>
      </c>
      <c r="I115">
        <f>IF($D$13=0,1,1-_xlfn.BINOM.DIST($D$13-1,$B$13,_xlfn.NORM.S.DIST((_xlfn.NORM.S.INV($C$13)-SQRT($D$3)*$A115)/SQRT(1-$D$3),TRUE),TRUE))</f>
        <v/>
      </c>
      <c r="J115">
        <f>IF($D$14=0,1,1-_xlfn.BINOM.DIST($D$14-1,$B$14,_xlfn.NORM.S.DIST((_xlfn.NORM.S.INV($C$14)-SQRT($D$3)*$A115)/SQRT(1-$D$3),TRUE),TRUE))</f>
        <v/>
      </c>
    </row>
    <row r="116">
      <c r="A116" t="n">
        <v>1.6</v>
      </c>
      <c r="B116">
        <f>1.0*0.1*EXP(-(A116^2)/2)/SQRT(2*PI())</f>
        <v/>
      </c>
      <c r="C116">
        <f>IF($D$7=0,1,1-_xlfn.BINOM.DIST($D$7-1,$B$7,_xlfn.NORM.S.DIST((_xlfn.NORM.S.INV($C$7)-SQRT($D$3)*$A116)/SQRT(1-$D$3),TRUE),TRUE))</f>
        <v/>
      </c>
      <c r="D116">
        <f>IF($D$8=0,1,1-_xlfn.BINOM.DIST($D$8-1,$B$8,_xlfn.NORM.S.DIST((_xlfn.NORM.S.INV($C$8)-SQRT($D$3)*$A116)/SQRT(1-$D$3),TRUE),TRUE))</f>
        <v/>
      </c>
      <c r="E116">
        <f>IF($D$9=0,1,1-_xlfn.BINOM.DIST($D$9-1,$B$9,_xlfn.NORM.S.DIST((_xlfn.NORM.S.INV($C$9)-SQRT($D$3)*$A116)/SQRT(1-$D$3),TRUE),TRUE))</f>
        <v/>
      </c>
      <c r="F116">
        <f>IF($D$10=0,1,1-_xlfn.BINOM.DIST($D$10-1,$B$10,_xlfn.NORM.S.DIST((_xlfn.NORM.S.INV($C$10)-SQRT($D$3)*$A116)/SQRT(1-$D$3),TRUE),TRUE))</f>
        <v/>
      </c>
      <c r="G116">
        <f>IF($D$11=0,1,1-_xlfn.BINOM.DIST($D$11-1,$B$11,_xlfn.NORM.S.DIST((_xlfn.NORM.S.INV($C$11)-SQRT($D$3)*$A116)/SQRT(1-$D$3),TRUE),TRUE))</f>
        <v/>
      </c>
      <c r="H116">
        <f>IF($D$12=0,1,1-_xlfn.BINOM.DIST($D$12-1,$B$12,_xlfn.NORM.S.DIST((_xlfn.NORM.S.INV($C$12)-SQRT($D$3)*$A116)/SQRT(1-$D$3),TRUE),TRUE))</f>
        <v/>
      </c>
      <c r="I116">
        <f>IF($D$13=0,1,1-_xlfn.BINOM.DIST($D$13-1,$B$13,_xlfn.NORM.S.DIST((_xlfn.NORM.S.INV($C$13)-SQRT($D$3)*$A116)/SQRT(1-$D$3),TRUE),TRUE))</f>
        <v/>
      </c>
      <c r="J116">
        <f>IF($D$14=0,1,1-_xlfn.BINOM.DIST($D$14-1,$B$14,_xlfn.NORM.S.DIST((_xlfn.NORM.S.INV($C$14)-SQRT($D$3)*$A116)/SQRT(1-$D$3),TRUE),TRUE))</f>
        <v/>
      </c>
    </row>
    <row r="117">
      <c r="A117" t="n">
        <v>1.7</v>
      </c>
      <c r="B117">
        <f>1.0*0.1*EXP(-(A117^2)/2)/SQRT(2*PI())</f>
        <v/>
      </c>
      <c r="C117">
        <f>IF($D$7=0,1,1-_xlfn.BINOM.DIST($D$7-1,$B$7,_xlfn.NORM.S.DIST((_xlfn.NORM.S.INV($C$7)-SQRT($D$3)*$A117)/SQRT(1-$D$3),TRUE),TRUE))</f>
        <v/>
      </c>
      <c r="D117">
        <f>IF($D$8=0,1,1-_xlfn.BINOM.DIST($D$8-1,$B$8,_xlfn.NORM.S.DIST((_xlfn.NORM.S.INV($C$8)-SQRT($D$3)*$A117)/SQRT(1-$D$3),TRUE),TRUE))</f>
        <v/>
      </c>
      <c r="E117">
        <f>IF($D$9=0,1,1-_xlfn.BINOM.DIST($D$9-1,$B$9,_xlfn.NORM.S.DIST((_xlfn.NORM.S.INV($C$9)-SQRT($D$3)*$A117)/SQRT(1-$D$3),TRUE),TRUE))</f>
        <v/>
      </c>
      <c r="F117">
        <f>IF($D$10=0,1,1-_xlfn.BINOM.DIST($D$10-1,$B$10,_xlfn.NORM.S.DIST((_xlfn.NORM.S.INV($C$10)-SQRT($D$3)*$A117)/SQRT(1-$D$3),TRUE),TRUE))</f>
        <v/>
      </c>
      <c r="G117">
        <f>IF($D$11=0,1,1-_xlfn.BINOM.DIST($D$11-1,$B$11,_xlfn.NORM.S.DIST((_xlfn.NORM.S.INV($C$11)-SQRT($D$3)*$A117)/SQRT(1-$D$3),TRUE),TRUE))</f>
        <v/>
      </c>
      <c r="H117">
        <f>IF($D$12=0,1,1-_xlfn.BINOM.DIST($D$12-1,$B$12,_xlfn.NORM.S.DIST((_xlfn.NORM.S.INV($C$12)-SQRT($D$3)*$A117)/SQRT(1-$D$3),TRUE),TRUE))</f>
        <v/>
      </c>
      <c r="I117">
        <f>IF($D$13=0,1,1-_xlfn.BINOM.DIST($D$13-1,$B$13,_xlfn.NORM.S.DIST((_xlfn.NORM.S.INV($C$13)-SQRT($D$3)*$A117)/SQRT(1-$D$3),TRUE),TRUE))</f>
        <v/>
      </c>
      <c r="J117">
        <f>IF($D$14=0,1,1-_xlfn.BINOM.DIST($D$14-1,$B$14,_xlfn.NORM.S.DIST((_xlfn.NORM.S.INV($C$14)-SQRT($D$3)*$A117)/SQRT(1-$D$3),TRUE),TRUE))</f>
        <v/>
      </c>
    </row>
    <row r="118">
      <c r="A118" t="n">
        <v>1.8</v>
      </c>
      <c r="B118">
        <f>1.0*0.1*EXP(-(A118^2)/2)/SQRT(2*PI())</f>
        <v/>
      </c>
      <c r="C118">
        <f>IF($D$7=0,1,1-_xlfn.BINOM.DIST($D$7-1,$B$7,_xlfn.NORM.S.DIST((_xlfn.NORM.S.INV($C$7)-SQRT($D$3)*$A118)/SQRT(1-$D$3),TRUE),TRUE))</f>
        <v/>
      </c>
      <c r="D118">
        <f>IF($D$8=0,1,1-_xlfn.BINOM.DIST($D$8-1,$B$8,_xlfn.NORM.S.DIST((_xlfn.NORM.S.INV($C$8)-SQRT($D$3)*$A118)/SQRT(1-$D$3),TRUE),TRUE))</f>
        <v/>
      </c>
      <c r="E118">
        <f>IF($D$9=0,1,1-_xlfn.BINOM.DIST($D$9-1,$B$9,_xlfn.NORM.S.DIST((_xlfn.NORM.S.INV($C$9)-SQRT($D$3)*$A118)/SQRT(1-$D$3),TRUE),TRUE))</f>
        <v/>
      </c>
      <c r="F118">
        <f>IF($D$10=0,1,1-_xlfn.BINOM.DIST($D$10-1,$B$10,_xlfn.NORM.S.DIST((_xlfn.NORM.S.INV($C$10)-SQRT($D$3)*$A118)/SQRT(1-$D$3),TRUE),TRUE))</f>
        <v/>
      </c>
      <c r="G118">
        <f>IF($D$11=0,1,1-_xlfn.BINOM.DIST($D$11-1,$B$11,_xlfn.NORM.S.DIST((_xlfn.NORM.S.INV($C$11)-SQRT($D$3)*$A118)/SQRT(1-$D$3),TRUE),TRUE))</f>
        <v/>
      </c>
      <c r="H118">
        <f>IF($D$12=0,1,1-_xlfn.BINOM.DIST($D$12-1,$B$12,_xlfn.NORM.S.DIST((_xlfn.NORM.S.INV($C$12)-SQRT($D$3)*$A118)/SQRT(1-$D$3),TRUE),TRUE))</f>
        <v/>
      </c>
      <c r="I118">
        <f>IF($D$13=0,1,1-_xlfn.BINOM.DIST($D$13-1,$B$13,_xlfn.NORM.S.DIST((_xlfn.NORM.S.INV($C$13)-SQRT($D$3)*$A118)/SQRT(1-$D$3),TRUE),TRUE))</f>
        <v/>
      </c>
      <c r="J118">
        <f>IF($D$14=0,1,1-_xlfn.BINOM.DIST($D$14-1,$B$14,_xlfn.NORM.S.DIST((_xlfn.NORM.S.INV($C$14)-SQRT($D$3)*$A118)/SQRT(1-$D$3),TRUE),TRUE))</f>
        <v/>
      </c>
    </row>
    <row r="119">
      <c r="A119" t="n">
        <v>1.9</v>
      </c>
      <c r="B119">
        <f>1.0*0.1*EXP(-(A119^2)/2)/SQRT(2*PI())</f>
        <v/>
      </c>
      <c r="C119">
        <f>IF($D$7=0,1,1-_xlfn.BINOM.DIST($D$7-1,$B$7,_xlfn.NORM.S.DIST((_xlfn.NORM.S.INV($C$7)-SQRT($D$3)*$A119)/SQRT(1-$D$3),TRUE),TRUE))</f>
        <v/>
      </c>
      <c r="D119">
        <f>IF($D$8=0,1,1-_xlfn.BINOM.DIST($D$8-1,$B$8,_xlfn.NORM.S.DIST((_xlfn.NORM.S.INV($C$8)-SQRT($D$3)*$A119)/SQRT(1-$D$3),TRUE),TRUE))</f>
        <v/>
      </c>
      <c r="E119">
        <f>IF($D$9=0,1,1-_xlfn.BINOM.DIST($D$9-1,$B$9,_xlfn.NORM.S.DIST((_xlfn.NORM.S.INV($C$9)-SQRT($D$3)*$A119)/SQRT(1-$D$3),TRUE),TRUE))</f>
        <v/>
      </c>
      <c r="F119">
        <f>IF($D$10=0,1,1-_xlfn.BINOM.DIST($D$10-1,$B$10,_xlfn.NORM.S.DIST((_xlfn.NORM.S.INV($C$10)-SQRT($D$3)*$A119)/SQRT(1-$D$3),TRUE),TRUE))</f>
        <v/>
      </c>
      <c r="G119">
        <f>IF($D$11=0,1,1-_xlfn.BINOM.DIST($D$11-1,$B$11,_xlfn.NORM.S.DIST((_xlfn.NORM.S.INV($C$11)-SQRT($D$3)*$A119)/SQRT(1-$D$3),TRUE),TRUE))</f>
        <v/>
      </c>
      <c r="H119">
        <f>IF($D$12=0,1,1-_xlfn.BINOM.DIST($D$12-1,$B$12,_xlfn.NORM.S.DIST((_xlfn.NORM.S.INV($C$12)-SQRT($D$3)*$A119)/SQRT(1-$D$3),TRUE),TRUE))</f>
        <v/>
      </c>
      <c r="I119">
        <f>IF($D$13=0,1,1-_xlfn.BINOM.DIST($D$13-1,$B$13,_xlfn.NORM.S.DIST((_xlfn.NORM.S.INV($C$13)-SQRT($D$3)*$A119)/SQRT(1-$D$3),TRUE),TRUE))</f>
        <v/>
      </c>
      <c r="J119">
        <f>IF($D$14=0,1,1-_xlfn.BINOM.DIST($D$14-1,$B$14,_xlfn.NORM.S.DIST((_xlfn.NORM.S.INV($C$14)-SQRT($D$3)*$A119)/SQRT(1-$D$3),TRUE),TRUE))</f>
        <v/>
      </c>
    </row>
    <row r="120">
      <c r="A120" t="n">
        <v>2</v>
      </c>
      <c r="B120">
        <f>1.0*0.1*EXP(-(A120^2)/2)/SQRT(2*PI())</f>
        <v/>
      </c>
      <c r="C120">
        <f>IF($D$7=0,1,1-_xlfn.BINOM.DIST($D$7-1,$B$7,_xlfn.NORM.S.DIST((_xlfn.NORM.S.INV($C$7)-SQRT($D$3)*$A120)/SQRT(1-$D$3),TRUE),TRUE))</f>
        <v/>
      </c>
      <c r="D120">
        <f>IF($D$8=0,1,1-_xlfn.BINOM.DIST($D$8-1,$B$8,_xlfn.NORM.S.DIST((_xlfn.NORM.S.INV($C$8)-SQRT($D$3)*$A120)/SQRT(1-$D$3),TRUE),TRUE))</f>
        <v/>
      </c>
      <c r="E120">
        <f>IF($D$9=0,1,1-_xlfn.BINOM.DIST($D$9-1,$B$9,_xlfn.NORM.S.DIST((_xlfn.NORM.S.INV($C$9)-SQRT($D$3)*$A120)/SQRT(1-$D$3),TRUE),TRUE))</f>
        <v/>
      </c>
      <c r="F120">
        <f>IF($D$10=0,1,1-_xlfn.BINOM.DIST($D$10-1,$B$10,_xlfn.NORM.S.DIST((_xlfn.NORM.S.INV($C$10)-SQRT($D$3)*$A120)/SQRT(1-$D$3),TRUE),TRUE))</f>
        <v/>
      </c>
      <c r="G120">
        <f>IF($D$11=0,1,1-_xlfn.BINOM.DIST($D$11-1,$B$11,_xlfn.NORM.S.DIST((_xlfn.NORM.S.INV($C$11)-SQRT($D$3)*$A120)/SQRT(1-$D$3),TRUE),TRUE))</f>
        <v/>
      </c>
      <c r="H120">
        <f>IF($D$12=0,1,1-_xlfn.BINOM.DIST($D$12-1,$B$12,_xlfn.NORM.S.DIST((_xlfn.NORM.S.INV($C$12)-SQRT($D$3)*$A120)/SQRT(1-$D$3),TRUE),TRUE))</f>
        <v/>
      </c>
      <c r="I120">
        <f>IF($D$13=0,1,1-_xlfn.BINOM.DIST($D$13-1,$B$13,_xlfn.NORM.S.DIST((_xlfn.NORM.S.INV($C$13)-SQRT($D$3)*$A120)/SQRT(1-$D$3),TRUE),TRUE))</f>
        <v/>
      </c>
      <c r="J120">
        <f>IF($D$14=0,1,1-_xlfn.BINOM.DIST($D$14-1,$B$14,_xlfn.NORM.S.DIST((_xlfn.NORM.S.INV($C$14)-SQRT($D$3)*$A120)/SQRT(1-$D$3),TRUE),TRUE))</f>
        <v/>
      </c>
    </row>
    <row r="121">
      <c r="A121" t="n">
        <v>2.1</v>
      </c>
      <c r="B121">
        <f>1.0*0.1*EXP(-(A121^2)/2)/SQRT(2*PI())</f>
        <v/>
      </c>
      <c r="C121">
        <f>IF($D$7=0,1,1-_xlfn.BINOM.DIST($D$7-1,$B$7,_xlfn.NORM.S.DIST((_xlfn.NORM.S.INV($C$7)-SQRT($D$3)*$A121)/SQRT(1-$D$3),TRUE),TRUE))</f>
        <v/>
      </c>
      <c r="D121">
        <f>IF($D$8=0,1,1-_xlfn.BINOM.DIST($D$8-1,$B$8,_xlfn.NORM.S.DIST((_xlfn.NORM.S.INV($C$8)-SQRT($D$3)*$A121)/SQRT(1-$D$3),TRUE),TRUE))</f>
        <v/>
      </c>
      <c r="E121">
        <f>IF($D$9=0,1,1-_xlfn.BINOM.DIST($D$9-1,$B$9,_xlfn.NORM.S.DIST((_xlfn.NORM.S.INV($C$9)-SQRT($D$3)*$A121)/SQRT(1-$D$3),TRUE),TRUE))</f>
        <v/>
      </c>
      <c r="F121">
        <f>IF($D$10=0,1,1-_xlfn.BINOM.DIST($D$10-1,$B$10,_xlfn.NORM.S.DIST((_xlfn.NORM.S.INV($C$10)-SQRT($D$3)*$A121)/SQRT(1-$D$3),TRUE),TRUE))</f>
        <v/>
      </c>
      <c r="G121">
        <f>IF($D$11=0,1,1-_xlfn.BINOM.DIST($D$11-1,$B$11,_xlfn.NORM.S.DIST((_xlfn.NORM.S.INV($C$11)-SQRT($D$3)*$A121)/SQRT(1-$D$3),TRUE),TRUE))</f>
        <v/>
      </c>
      <c r="H121">
        <f>IF($D$12=0,1,1-_xlfn.BINOM.DIST($D$12-1,$B$12,_xlfn.NORM.S.DIST((_xlfn.NORM.S.INV($C$12)-SQRT($D$3)*$A121)/SQRT(1-$D$3),TRUE),TRUE))</f>
        <v/>
      </c>
      <c r="I121">
        <f>IF($D$13=0,1,1-_xlfn.BINOM.DIST($D$13-1,$B$13,_xlfn.NORM.S.DIST((_xlfn.NORM.S.INV($C$13)-SQRT($D$3)*$A121)/SQRT(1-$D$3),TRUE),TRUE))</f>
        <v/>
      </c>
      <c r="J121">
        <f>IF($D$14=0,1,1-_xlfn.BINOM.DIST($D$14-1,$B$14,_xlfn.NORM.S.DIST((_xlfn.NORM.S.INV($C$14)-SQRT($D$3)*$A121)/SQRT(1-$D$3),TRUE),TRUE))</f>
        <v/>
      </c>
    </row>
    <row r="122">
      <c r="A122" t="n">
        <v>2.2</v>
      </c>
      <c r="B122">
        <f>1.0*0.1*EXP(-(A122^2)/2)/SQRT(2*PI())</f>
        <v/>
      </c>
      <c r="C122">
        <f>IF($D$7=0,1,1-_xlfn.BINOM.DIST($D$7-1,$B$7,_xlfn.NORM.S.DIST((_xlfn.NORM.S.INV($C$7)-SQRT($D$3)*$A122)/SQRT(1-$D$3),TRUE),TRUE))</f>
        <v/>
      </c>
      <c r="D122">
        <f>IF($D$8=0,1,1-_xlfn.BINOM.DIST($D$8-1,$B$8,_xlfn.NORM.S.DIST((_xlfn.NORM.S.INV($C$8)-SQRT($D$3)*$A122)/SQRT(1-$D$3),TRUE),TRUE))</f>
        <v/>
      </c>
      <c r="E122">
        <f>IF($D$9=0,1,1-_xlfn.BINOM.DIST($D$9-1,$B$9,_xlfn.NORM.S.DIST((_xlfn.NORM.S.INV($C$9)-SQRT($D$3)*$A122)/SQRT(1-$D$3),TRUE),TRUE))</f>
        <v/>
      </c>
      <c r="F122">
        <f>IF($D$10=0,1,1-_xlfn.BINOM.DIST($D$10-1,$B$10,_xlfn.NORM.S.DIST((_xlfn.NORM.S.INV($C$10)-SQRT($D$3)*$A122)/SQRT(1-$D$3),TRUE),TRUE))</f>
        <v/>
      </c>
      <c r="G122">
        <f>IF($D$11=0,1,1-_xlfn.BINOM.DIST($D$11-1,$B$11,_xlfn.NORM.S.DIST((_xlfn.NORM.S.INV($C$11)-SQRT($D$3)*$A122)/SQRT(1-$D$3),TRUE),TRUE))</f>
        <v/>
      </c>
      <c r="H122">
        <f>IF($D$12=0,1,1-_xlfn.BINOM.DIST($D$12-1,$B$12,_xlfn.NORM.S.DIST((_xlfn.NORM.S.INV($C$12)-SQRT($D$3)*$A122)/SQRT(1-$D$3),TRUE),TRUE))</f>
        <v/>
      </c>
      <c r="I122">
        <f>IF($D$13=0,1,1-_xlfn.BINOM.DIST($D$13-1,$B$13,_xlfn.NORM.S.DIST((_xlfn.NORM.S.INV($C$13)-SQRT($D$3)*$A122)/SQRT(1-$D$3),TRUE),TRUE))</f>
        <v/>
      </c>
      <c r="J122">
        <f>IF($D$14=0,1,1-_xlfn.BINOM.DIST($D$14-1,$B$14,_xlfn.NORM.S.DIST((_xlfn.NORM.S.INV($C$14)-SQRT($D$3)*$A122)/SQRT(1-$D$3),TRUE),TRUE))</f>
        <v/>
      </c>
    </row>
    <row r="123">
      <c r="A123" t="n">
        <v>2.3</v>
      </c>
      <c r="B123">
        <f>1.0*0.1*EXP(-(A123^2)/2)/SQRT(2*PI())</f>
        <v/>
      </c>
      <c r="C123">
        <f>IF($D$7=0,1,1-_xlfn.BINOM.DIST($D$7-1,$B$7,_xlfn.NORM.S.DIST((_xlfn.NORM.S.INV($C$7)-SQRT($D$3)*$A123)/SQRT(1-$D$3),TRUE),TRUE))</f>
        <v/>
      </c>
      <c r="D123">
        <f>IF($D$8=0,1,1-_xlfn.BINOM.DIST($D$8-1,$B$8,_xlfn.NORM.S.DIST((_xlfn.NORM.S.INV($C$8)-SQRT($D$3)*$A123)/SQRT(1-$D$3),TRUE),TRUE))</f>
        <v/>
      </c>
      <c r="E123">
        <f>IF($D$9=0,1,1-_xlfn.BINOM.DIST($D$9-1,$B$9,_xlfn.NORM.S.DIST((_xlfn.NORM.S.INV($C$9)-SQRT($D$3)*$A123)/SQRT(1-$D$3),TRUE),TRUE))</f>
        <v/>
      </c>
      <c r="F123">
        <f>IF($D$10=0,1,1-_xlfn.BINOM.DIST($D$10-1,$B$10,_xlfn.NORM.S.DIST((_xlfn.NORM.S.INV($C$10)-SQRT($D$3)*$A123)/SQRT(1-$D$3),TRUE),TRUE))</f>
        <v/>
      </c>
      <c r="G123">
        <f>IF($D$11=0,1,1-_xlfn.BINOM.DIST($D$11-1,$B$11,_xlfn.NORM.S.DIST((_xlfn.NORM.S.INV($C$11)-SQRT($D$3)*$A123)/SQRT(1-$D$3),TRUE),TRUE))</f>
        <v/>
      </c>
      <c r="H123">
        <f>IF($D$12=0,1,1-_xlfn.BINOM.DIST($D$12-1,$B$12,_xlfn.NORM.S.DIST((_xlfn.NORM.S.INV($C$12)-SQRT($D$3)*$A123)/SQRT(1-$D$3),TRUE),TRUE))</f>
        <v/>
      </c>
      <c r="I123">
        <f>IF($D$13=0,1,1-_xlfn.BINOM.DIST($D$13-1,$B$13,_xlfn.NORM.S.DIST((_xlfn.NORM.S.INV($C$13)-SQRT($D$3)*$A123)/SQRT(1-$D$3),TRUE),TRUE))</f>
        <v/>
      </c>
      <c r="J123">
        <f>IF($D$14=0,1,1-_xlfn.BINOM.DIST($D$14-1,$B$14,_xlfn.NORM.S.DIST((_xlfn.NORM.S.INV($C$14)-SQRT($D$3)*$A123)/SQRT(1-$D$3),TRUE),TRUE))</f>
        <v/>
      </c>
    </row>
    <row r="124">
      <c r="A124" t="n">
        <v>2.4</v>
      </c>
      <c r="B124">
        <f>1.0*0.1*EXP(-(A124^2)/2)/SQRT(2*PI())</f>
        <v/>
      </c>
      <c r="C124">
        <f>IF($D$7=0,1,1-_xlfn.BINOM.DIST($D$7-1,$B$7,_xlfn.NORM.S.DIST((_xlfn.NORM.S.INV($C$7)-SQRT($D$3)*$A124)/SQRT(1-$D$3),TRUE),TRUE))</f>
        <v/>
      </c>
      <c r="D124">
        <f>IF($D$8=0,1,1-_xlfn.BINOM.DIST($D$8-1,$B$8,_xlfn.NORM.S.DIST((_xlfn.NORM.S.INV($C$8)-SQRT($D$3)*$A124)/SQRT(1-$D$3),TRUE),TRUE))</f>
        <v/>
      </c>
      <c r="E124">
        <f>IF($D$9=0,1,1-_xlfn.BINOM.DIST($D$9-1,$B$9,_xlfn.NORM.S.DIST((_xlfn.NORM.S.INV($C$9)-SQRT($D$3)*$A124)/SQRT(1-$D$3),TRUE),TRUE))</f>
        <v/>
      </c>
      <c r="F124">
        <f>IF($D$10=0,1,1-_xlfn.BINOM.DIST($D$10-1,$B$10,_xlfn.NORM.S.DIST((_xlfn.NORM.S.INV($C$10)-SQRT($D$3)*$A124)/SQRT(1-$D$3),TRUE),TRUE))</f>
        <v/>
      </c>
      <c r="G124">
        <f>IF($D$11=0,1,1-_xlfn.BINOM.DIST($D$11-1,$B$11,_xlfn.NORM.S.DIST((_xlfn.NORM.S.INV($C$11)-SQRT($D$3)*$A124)/SQRT(1-$D$3),TRUE),TRUE))</f>
        <v/>
      </c>
      <c r="H124">
        <f>IF($D$12=0,1,1-_xlfn.BINOM.DIST($D$12-1,$B$12,_xlfn.NORM.S.DIST((_xlfn.NORM.S.INV($C$12)-SQRT($D$3)*$A124)/SQRT(1-$D$3),TRUE),TRUE))</f>
        <v/>
      </c>
      <c r="I124">
        <f>IF($D$13=0,1,1-_xlfn.BINOM.DIST($D$13-1,$B$13,_xlfn.NORM.S.DIST((_xlfn.NORM.S.INV($C$13)-SQRT($D$3)*$A124)/SQRT(1-$D$3),TRUE),TRUE))</f>
        <v/>
      </c>
      <c r="J124">
        <f>IF($D$14=0,1,1-_xlfn.BINOM.DIST($D$14-1,$B$14,_xlfn.NORM.S.DIST((_xlfn.NORM.S.INV($C$14)-SQRT($D$3)*$A124)/SQRT(1-$D$3),TRUE),TRUE))</f>
        <v/>
      </c>
    </row>
    <row r="125">
      <c r="A125" t="n">
        <v>2.5</v>
      </c>
      <c r="B125">
        <f>1.0*0.1*EXP(-(A125^2)/2)/SQRT(2*PI())</f>
        <v/>
      </c>
      <c r="C125">
        <f>IF($D$7=0,1,1-_xlfn.BINOM.DIST($D$7-1,$B$7,_xlfn.NORM.S.DIST((_xlfn.NORM.S.INV($C$7)-SQRT($D$3)*$A125)/SQRT(1-$D$3),TRUE),TRUE))</f>
        <v/>
      </c>
      <c r="D125">
        <f>IF($D$8=0,1,1-_xlfn.BINOM.DIST($D$8-1,$B$8,_xlfn.NORM.S.DIST((_xlfn.NORM.S.INV($C$8)-SQRT($D$3)*$A125)/SQRT(1-$D$3),TRUE),TRUE))</f>
        <v/>
      </c>
      <c r="E125">
        <f>IF($D$9=0,1,1-_xlfn.BINOM.DIST($D$9-1,$B$9,_xlfn.NORM.S.DIST((_xlfn.NORM.S.INV($C$9)-SQRT($D$3)*$A125)/SQRT(1-$D$3),TRUE),TRUE))</f>
        <v/>
      </c>
      <c r="F125">
        <f>IF($D$10=0,1,1-_xlfn.BINOM.DIST($D$10-1,$B$10,_xlfn.NORM.S.DIST((_xlfn.NORM.S.INV($C$10)-SQRT($D$3)*$A125)/SQRT(1-$D$3),TRUE),TRUE))</f>
        <v/>
      </c>
      <c r="G125">
        <f>IF($D$11=0,1,1-_xlfn.BINOM.DIST($D$11-1,$B$11,_xlfn.NORM.S.DIST((_xlfn.NORM.S.INV($C$11)-SQRT($D$3)*$A125)/SQRT(1-$D$3),TRUE),TRUE))</f>
        <v/>
      </c>
      <c r="H125">
        <f>IF($D$12=0,1,1-_xlfn.BINOM.DIST($D$12-1,$B$12,_xlfn.NORM.S.DIST((_xlfn.NORM.S.INV($C$12)-SQRT($D$3)*$A125)/SQRT(1-$D$3),TRUE),TRUE))</f>
        <v/>
      </c>
      <c r="I125">
        <f>IF($D$13=0,1,1-_xlfn.BINOM.DIST($D$13-1,$B$13,_xlfn.NORM.S.DIST((_xlfn.NORM.S.INV($C$13)-SQRT($D$3)*$A125)/SQRT(1-$D$3),TRUE),TRUE))</f>
        <v/>
      </c>
      <c r="J125">
        <f>IF($D$14=0,1,1-_xlfn.BINOM.DIST($D$14-1,$B$14,_xlfn.NORM.S.DIST((_xlfn.NORM.S.INV($C$14)-SQRT($D$3)*$A125)/SQRT(1-$D$3),TRUE),TRUE))</f>
        <v/>
      </c>
    </row>
    <row r="126">
      <c r="A126" t="n">
        <v>2.6</v>
      </c>
      <c r="B126">
        <f>1.0*0.1*EXP(-(A126^2)/2)/SQRT(2*PI())</f>
        <v/>
      </c>
      <c r="C126">
        <f>IF($D$7=0,1,1-_xlfn.BINOM.DIST($D$7-1,$B$7,_xlfn.NORM.S.DIST((_xlfn.NORM.S.INV($C$7)-SQRT($D$3)*$A126)/SQRT(1-$D$3),TRUE),TRUE))</f>
        <v/>
      </c>
      <c r="D126">
        <f>IF($D$8=0,1,1-_xlfn.BINOM.DIST($D$8-1,$B$8,_xlfn.NORM.S.DIST((_xlfn.NORM.S.INV($C$8)-SQRT($D$3)*$A126)/SQRT(1-$D$3),TRUE),TRUE))</f>
        <v/>
      </c>
      <c r="E126">
        <f>IF($D$9=0,1,1-_xlfn.BINOM.DIST($D$9-1,$B$9,_xlfn.NORM.S.DIST((_xlfn.NORM.S.INV($C$9)-SQRT($D$3)*$A126)/SQRT(1-$D$3),TRUE),TRUE))</f>
        <v/>
      </c>
      <c r="F126">
        <f>IF($D$10=0,1,1-_xlfn.BINOM.DIST($D$10-1,$B$10,_xlfn.NORM.S.DIST((_xlfn.NORM.S.INV($C$10)-SQRT($D$3)*$A126)/SQRT(1-$D$3),TRUE),TRUE))</f>
        <v/>
      </c>
      <c r="G126">
        <f>IF($D$11=0,1,1-_xlfn.BINOM.DIST($D$11-1,$B$11,_xlfn.NORM.S.DIST((_xlfn.NORM.S.INV($C$11)-SQRT($D$3)*$A126)/SQRT(1-$D$3),TRUE),TRUE))</f>
        <v/>
      </c>
      <c r="H126">
        <f>IF($D$12=0,1,1-_xlfn.BINOM.DIST($D$12-1,$B$12,_xlfn.NORM.S.DIST((_xlfn.NORM.S.INV($C$12)-SQRT($D$3)*$A126)/SQRT(1-$D$3),TRUE),TRUE))</f>
        <v/>
      </c>
      <c r="I126">
        <f>IF($D$13=0,1,1-_xlfn.BINOM.DIST($D$13-1,$B$13,_xlfn.NORM.S.DIST((_xlfn.NORM.S.INV($C$13)-SQRT($D$3)*$A126)/SQRT(1-$D$3),TRUE),TRUE))</f>
        <v/>
      </c>
      <c r="J126">
        <f>IF($D$14=0,1,1-_xlfn.BINOM.DIST($D$14-1,$B$14,_xlfn.NORM.S.DIST((_xlfn.NORM.S.INV($C$14)-SQRT($D$3)*$A126)/SQRT(1-$D$3),TRUE),TRUE))</f>
        <v/>
      </c>
    </row>
    <row r="127">
      <c r="A127" t="n">
        <v>2.7</v>
      </c>
      <c r="B127">
        <f>1.0*0.1*EXP(-(A127^2)/2)/SQRT(2*PI())</f>
        <v/>
      </c>
      <c r="C127">
        <f>IF($D$7=0,1,1-_xlfn.BINOM.DIST($D$7-1,$B$7,_xlfn.NORM.S.DIST((_xlfn.NORM.S.INV($C$7)-SQRT($D$3)*$A127)/SQRT(1-$D$3),TRUE),TRUE))</f>
        <v/>
      </c>
      <c r="D127">
        <f>IF($D$8=0,1,1-_xlfn.BINOM.DIST($D$8-1,$B$8,_xlfn.NORM.S.DIST((_xlfn.NORM.S.INV($C$8)-SQRT($D$3)*$A127)/SQRT(1-$D$3),TRUE),TRUE))</f>
        <v/>
      </c>
      <c r="E127">
        <f>IF($D$9=0,1,1-_xlfn.BINOM.DIST($D$9-1,$B$9,_xlfn.NORM.S.DIST((_xlfn.NORM.S.INV($C$9)-SQRT($D$3)*$A127)/SQRT(1-$D$3),TRUE),TRUE))</f>
        <v/>
      </c>
      <c r="F127">
        <f>IF($D$10=0,1,1-_xlfn.BINOM.DIST($D$10-1,$B$10,_xlfn.NORM.S.DIST((_xlfn.NORM.S.INV($C$10)-SQRT($D$3)*$A127)/SQRT(1-$D$3),TRUE),TRUE))</f>
        <v/>
      </c>
      <c r="G127">
        <f>IF($D$11=0,1,1-_xlfn.BINOM.DIST($D$11-1,$B$11,_xlfn.NORM.S.DIST((_xlfn.NORM.S.INV($C$11)-SQRT($D$3)*$A127)/SQRT(1-$D$3),TRUE),TRUE))</f>
        <v/>
      </c>
      <c r="H127">
        <f>IF($D$12=0,1,1-_xlfn.BINOM.DIST($D$12-1,$B$12,_xlfn.NORM.S.DIST((_xlfn.NORM.S.INV($C$12)-SQRT($D$3)*$A127)/SQRT(1-$D$3),TRUE),TRUE))</f>
        <v/>
      </c>
      <c r="I127">
        <f>IF($D$13=0,1,1-_xlfn.BINOM.DIST($D$13-1,$B$13,_xlfn.NORM.S.DIST((_xlfn.NORM.S.INV($C$13)-SQRT($D$3)*$A127)/SQRT(1-$D$3),TRUE),TRUE))</f>
        <v/>
      </c>
      <c r="J127">
        <f>IF($D$14=0,1,1-_xlfn.BINOM.DIST($D$14-1,$B$14,_xlfn.NORM.S.DIST((_xlfn.NORM.S.INV($C$14)-SQRT($D$3)*$A127)/SQRT(1-$D$3),TRUE),TRUE))</f>
        <v/>
      </c>
    </row>
    <row r="128">
      <c r="A128" t="n">
        <v>2.8</v>
      </c>
      <c r="B128">
        <f>1.0*0.1*EXP(-(A128^2)/2)/SQRT(2*PI())</f>
        <v/>
      </c>
      <c r="C128">
        <f>IF($D$7=0,1,1-_xlfn.BINOM.DIST($D$7-1,$B$7,_xlfn.NORM.S.DIST((_xlfn.NORM.S.INV($C$7)-SQRT($D$3)*$A128)/SQRT(1-$D$3),TRUE),TRUE))</f>
        <v/>
      </c>
      <c r="D128">
        <f>IF($D$8=0,1,1-_xlfn.BINOM.DIST($D$8-1,$B$8,_xlfn.NORM.S.DIST((_xlfn.NORM.S.INV($C$8)-SQRT($D$3)*$A128)/SQRT(1-$D$3),TRUE),TRUE))</f>
        <v/>
      </c>
      <c r="E128">
        <f>IF($D$9=0,1,1-_xlfn.BINOM.DIST($D$9-1,$B$9,_xlfn.NORM.S.DIST((_xlfn.NORM.S.INV($C$9)-SQRT($D$3)*$A128)/SQRT(1-$D$3),TRUE),TRUE))</f>
        <v/>
      </c>
      <c r="F128">
        <f>IF($D$10=0,1,1-_xlfn.BINOM.DIST($D$10-1,$B$10,_xlfn.NORM.S.DIST((_xlfn.NORM.S.INV($C$10)-SQRT($D$3)*$A128)/SQRT(1-$D$3),TRUE),TRUE))</f>
        <v/>
      </c>
      <c r="G128">
        <f>IF($D$11=0,1,1-_xlfn.BINOM.DIST($D$11-1,$B$11,_xlfn.NORM.S.DIST((_xlfn.NORM.S.INV($C$11)-SQRT($D$3)*$A128)/SQRT(1-$D$3),TRUE),TRUE))</f>
        <v/>
      </c>
      <c r="H128">
        <f>IF($D$12=0,1,1-_xlfn.BINOM.DIST($D$12-1,$B$12,_xlfn.NORM.S.DIST((_xlfn.NORM.S.INV($C$12)-SQRT($D$3)*$A128)/SQRT(1-$D$3),TRUE),TRUE))</f>
        <v/>
      </c>
      <c r="I128">
        <f>IF($D$13=0,1,1-_xlfn.BINOM.DIST($D$13-1,$B$13,_xlfn.NORM.S.DIST((_xlfn.NORM.S.INV($C$13)-SQRT($D$3)*$A128)/SQRT(1-$D$3),TRUE),TRUE))</f>
        <v/>
      </c>
      <c r="J128">
        <f>IF($D$14=0,1,1-_xlfn.BINOM.DIST($D$14-1,$B$14,_xlfn.NORM.S.DIST((_xlfn.NORM.S.INV($C$14)-SQRT($D$3)*$A128)/SQRT(1-$D$3),TRUE),TRUE))</f>
        <v/>
      </c>
    </row>
    <row r="129">
      <c r="A129" t="n">
        <v>2.9</v>
      </c>
      <c r="B129">
        <f>1.0*0.1*EXP(-(A129^2)/2)/SQRT(2*PI())</f>
        <v/>
      </c>
      <c r="C129">
        <f>IF($D$7=0,1,1-_xlfn.BINOM.DIST($D$7-1,$B$7,_xlfn.NORM.S.DIST((_xlfn.NORM.S.INV($C$7)-SQRT($D$3)*$A129)/SQRT(1-$D$3),TRUE),TRUE))</f>
        <v/>
      </c>
      <c r="D129">
        <f>IF($D$8=0,1,1-_xlfn.BINOM.DIST($D$8-1,$B$8,_xlfn.NORM.S.DIST((_xlfn.NORM.S.INV($C$8)-SQRT($D$3)*$A129)/SQRT(1-$D$3),TRUE),TRUE))</f>
        <v/>
      </c>
      <c r="E129">
        <f>IF($D$9=0,1,1-_xlfn.BINOM.DIST($D$9-1,$B$9,_xlfn.NORM.S.DIST((_xlfn.NORM.S.INV($C$9)-SQRT($D$3)*$A129)/SQRT(1-$D$3),TRUE),TRUE))</f>
        <v/>
      </c>
      <c r="F129">
        <f>IF($D$10=0,1,1-_xlfn.BINOM.DIST($D$10-1,$B$10,_xlfn.NORM.S.DIST((_xlfn.NORM.S.INV($C$10)-SQRT($D$3)*$A129)/SQRT(1-$D$3),TRUE),TRUE))</f>
        <v/>
      </c>
      <c r="G129">
        <f>IF($D$11=0,1,1-_xlfn.BINOM.DIST($D$11-1,$B$11,_xlfn.NORM.S.DIST((_xlfn.NORM.S.INV($C$11)-SQRT($D$3)*$A129)/SQRT(1-$D$3),TRUE),TRUE))</f>
        <v/>
      </c>
      <c r="H129">
        <f>IF($D$12=0,1,1-_xlfn.BINOM.DIST($D$12-1,$B$12,_xlfn.NORM.S.DIST((_xlfn.NORM.S.INV($C$12)-SQRT($D$3)*$A129)/SQRT(1-$D$3),TRUE),TRUE))</f>
        <v/>
      </c>
      <c r="I129">
        <f>IF($D$13=0,1,1-_xlfn.BINOM.DIST($D$13-1,$B$13,_xlfn.NORM.S.DIST((_xlfn.NORM.S.INV($C$13)-SQRT($D$3)*$A129)/SQRT(1-$D$3),TRUE),TRUE))</f>
        <v/>
      </c>
      <c r="J129">
        <f>IF($D$14=0,1,1-_xlfn.BINOM.DIST($D$14-1,$B$14,_xlfn.NORM.S.DIST((_xlfn.NORM.S.INV($C$14)-SQRT($D$3)*$A129)/SQRT(1-$D$3),TRUE),TRUE))</f>
        <v/>
      </c>
    </row>
    <row r="130">
      <c r="A130" t="n">
        <v>3</v>
      </c>
      <c r="B130">
        <f>1.0*0.1*EXP(-(A130^2)/2)/SQRT(2*PI())</f>
        <v/>
      </c>
      <c r="C130">
        <f>IF($D$7=0,1,1-_xlfn.BINOM.DIST($D$7-1,$B$7,_xlfn.NORM.S.DIST((_xlfn.NORM.S.INV($C$7)-SQRT($D$3)*$A130)/SQRT(1-$D$3),TRUE),TRUE))</f>
        <v/>
      </c>
      <c r="D130">
        <f>IF($D$8=0,1,1-_xlfn.BINOM.DIST($D$8-1,$B$8,_xlfn.NORM.S.DIST((_xlfn.NORM.S.INV($C$8)-SQRT($D$3)*$A130)/SQRT(1-$D$3),TRUE),TRUE))</f>
        <v/>
      </c>
      <c r="E130">
        <f>IF($D$9=0,1,1-_xlfn.BINOM.DIST($D$9-1,$B$9,_xlfn.NORM.S.DIST((_xlfn.NORM.S.INV($C$9)-SQRT($D$3)*$A130)/SQRT(1-$D$3),TRUE),TRUE))</f>
        <v/>
      </c>
      <c r="F130">
        <f>IF($D$10=0,1,1-_xlfn.BINOM.DIST($D$10-1,$B$10,_xlfn.NORM.S.DIST((_xlfn.NORM.S.INV($C$10)-SQRT($D$3)*$A130)/SQRT(1-$D$3),TRUE),TRUE))</f>
        <v/>
      </c>
      <c r="G130">
        <f>IF($D$11=0,1,1-_xlfn.BINOM.DIST($D$11-1,$B$11,_xlfn.NORM.S.DIST((_xlfn.NORM.S.INV($C$11)-SQRT($D$3)*$A130)/SQRT(1-$D$3),TRUE),TRUE))</f>
        <v/>
      </c>
      <c r="H130">
        <f>IF($D$12=0,1,1-_xlfn.BINOM.DIST($D$12-1,$B$12,_xlfn.NORM.S.DIST((_xlfn.NORM.S.INV($C$12)-SQRT($D$3)*$A130)/SQRT(1-$D$3),TRUE),TRUE))</f>
        <v/>
      </c>
      <c r="I130">
        <f>IF($D$13=0,1,1-_xlfn.BINOM.DIST($D$13-1,$B$13,_xlfn.NORM.S.DIST((_xlfn.NORM.S.INV($C$13)-SQRT($D$3)*$A130)/SQRT(1-$D$3),TRUE),TRUE))</f>
        <v/>
      </c>
      <c r="J130">
        <f>IF($D$14=0,1,1-_xlfn.BINOM.DIST($D$14-1,$B$14,_xlfn.NORM.S.DIST((_xlfn.NORM.S.INV($C$14)-SQRT($D$3)*$A130)/SQRT(1-$D$3),TRUE),TRUE))</f>
        <v/>
      </c>
    </row>
    <row r="131">
      <c r="A131" t="n">
        <v>3.1</v>
      </c>
      <c r="B131">
        <f>1.0*0.1*EXP(-(A131^2)/2)/SQRT(2*PI())</f>
        <v/>
      </c>
      <c r="C131">
        <f>IF($D$7=0,1,1-_xlfn.BINOM.DIST($D$7-1,$B$7,_xlfn.NORM.S.DIST((_xlfn.NORM.S.INV($C$7)-SQRT($D$3)*$A131)/SQRT(1-$D$3),TRUE),TRUE))</f>
        <v/>
      </c>
      <c r="D131">
        <f>IF($D$8=0,1,1-_xlfn.BINOM.DIST($D$8-1,$B$8,_xlfn.NORM.S.DIST((_xlfn.NORM.S.INV($C$8)-SQRT($D$3)*$A131)/SQRT(1-$D$3),TRUE),TRUE))</f>
        <v/>
      </c>
      <c r="E131">
        <f>IF($D$9=0,1,1-_xlfn.BINOM.DIST($D$9-1,$B$9,_xlfn.NORM.S.DIST((_xlfn.NORM.S.INV($C$9)-SQRT($D$3)*$A131)/SQRT(1-$D$3),TRUE),TRUE))</f>
        <v/>
      </c>
      <c r="F131">
        <f>IF($D$10=0,1,1-_xlfn.BINOM.DIST($D$10-1,$B$10,_xlfn.NORM.S.DIST((_xlfn.NORM.S.INV($C$10)-SQRT($D$3)*$A131)/SQRT(1-$D$3),TRUE),TRUE))</f>
        <v/>
      </c>
      <c r="G131">
        <f>IF($D$11=0,1,1-_xlfn.BINOM.DIST($D$11-1,$B$11,_xlfn.NORM.S.DIST((_xlfn.NORM.S.INV($C$11)-SQRT($D$3)*$A131)/SQRT(1-$D$3),TRUE),TRUE))</f>
        <v/>
      </c>
      <c r="H131">
        <f>IF($D$12=0,1,1-_xlfn.BINOM.DIST($D$12-1,$B$12,_xlfn.NORM.S.DIST((_xlfn.NORM.S.INV($C$12)-SQRT($D$3)*$A131)/SQRT(1-$D$3),TRUE),TRUE))</f>
        <v/>
      </c>
      <c r="I131">
        <f>IF($D$13=0,1,1-_xlfn.BINOM.DIST($D$13-1,$B$13,_xlfn.NORM.S.DIST((_xlfn.NORM.S.INV($C$13)-SQRT($D$3)*$A131)/SQRT(1-$D$3),TRUE),TRUE))</f>
        <v/>
      </c>
      <c r="J131">
        <f>IF($D$14=0,1,1-_xlfn.BINOM.DIST($D$14-1,$B$14,_xlfn.NORM.S.DIST((_xlfn.NORM.S.INV($C$14)-SQRT($D$3)*$A131)/SQRT(1-$D$3),TRUE),TRUE))</f>
        <v/>
      </c>
    </row>
    <row r="132">
      <c r="A132" t="n">
        <v>3.2</v>
      </c>
      <c r="B132">
        <f>1.0*0.1*EXP(-(A132^2)/2)/SQRT(2*PI())</f>
        <v/>
      </c>
      <c r="C132">
        <f>IF($D$7=0,1,1-_xlfn.BINOM.DIST($D$7-1,$B$7,_xlfn.NORM.S.DIST((_xlfn.NORM.S.INV($C$7)-SQRT($D$3)*$A132)/SQRT(1-$D$3),TRUE),TRUE))</f>
        <v/>
      </c>
      <c r="D132">
        <f>IF($D$8=0,1,1-_xlfn.BINOM.DIST($D$8-1,$B$8,_xlfn.NORM.S.DIST((_xlfn.NORM.S.INV($C$8)-SQRT($D$3)*$A132)/SQRT(1-$D$3),TRUE),TRUE))</f>
        <v/>
      </c>
      <c r="E132">
        <f>IF($D$9=0,1,1-_xlfn.BINOM.DIST($D$9-1,$B$9,_xlfn.NORM.S.DIST((_xlfn.NORM.S.INV($C$9)-SQRT($D$3)*$A132)/SQRT(1-$D$3),TRUE),TRUE))</f>
        <v/>
      </c>
      <c r="F132">
        <f>IF($D$10=0,1,1-_xlfn.BINOM.DIST($D$10-1,$B$10,_xlfn.NORM.S.DIST((_xlfn.NORM.S.INV($C$10)-SQRT($D$3)*$A132)/SQRT(1-$D$3),TRUE),TRUE))</f>
        <v/>
      </c>
      <c r="G132">
        <f>IF($D$11=0,1,1-_xlfn.BINOM.DIST($D$11-1,$B$11,_xlfn.NORM.S.DIST((_xlfn.NORM.S.INV($C$11)-SQRT($D$3)*$A132)/SQRT(1-$D$3),TRUE),TRUE))</f>
        <v/>
      </c>
      <c r="H132">
        <f>IF($D$12=0,1,1-_xlfn.BINOM.DIST($D$12-1,$B$12,_xlfn.NORM.S.DIST((_xlfn.NORM.S.INV($C$12)-SQRT($D$3)*$A132)/SQRT(1-$D$3),TRUE),TRUE))</f>
        <v/>
      </c>
      <c r="I132">
        <f>IF($D$13=0,1,1-_xlfn.BINOM.DIST($D$13-1,$B$13,_xlfn.NORM.S.DIST((_xlfn.NORM.S.INV($C$13)-SQRT($D$3)*$A132)/SQRT(1-$D$3),TRUE),TRUE))</f>
        <v/>
      </c>
      <c r="J132">
        <f>IF($D$14=0,1,1-_xlfn.BINOM.DIST($D$14-1,$B$14,_xlfn.NORM.S.DIST((_xlfn.NORM.S.INV($C$14)-SQRT($D$3)*$A132)/SQRT(1-$D$3),TRUE),TRUE))</f>
        <v/>
      </c>
    </row>
    <row r="133">
      <c r="A133" t="n">
        <v>3.3</v>
      </c>
      <c r="B133">
        <f>1.0*0.1*EXP(-(A133^2)/2)/SQRT(2*PI())</f>
        <v/>
      </c>
      <c r="C133">
        <f>IF($D$7=0,1,1-_xlfn.BINOM.DIST($D$7-1,$B$7,_xlfn.NORM.S.DIST((_xlfn.NORM.S.INV($C$7)-SQRT($D$3)*$A133)/SQRT(1-$D$3),TRUE),TRUE))</f>
        <v/>
      </c>
      <c r="D133">
        <f>IF($D$8=0,1,1-_xlfn.BINOM.DIST($D$8-1,$B$8,_xlfn.NORM.S.DIST((_xlfn.NORM.S.INV($C$8)-SQRT($D$3)*$A133)/SQRT(1-$D$3),TRUE),TRUE))</f>
        <v/>
      </c>
      <c r="E133">
        <f>IF($D$9=0,1,1-_xlfn.BINOM.DIST($D$9-1,$B$9,_xlfn.NORM.S.DIST((_xlfn.NORM.S.INV($C$9)-SQRT($D$3)*$A133)/SQRT(1-$D$3),TRUE),TRUE))</f>
        <v/>
      </c>
      <c r="F133">
        <f>IF($D$10=0,1,1-_xlfn.BINOM.DIST($D$10-1,$B$10,_xlfn.NORM.S.DIST((_xlfn.NORM.S.INV($C$10)-SQRT($D$3)*$A133)/SQRT(1-$D$3),TRUE),TRUE))</f>
        <v/>
      </c>
      <c r="G133">
        <f>IF($D$11=0,1,1-_xlfn.BINOM.DIST($D$11-1,$B$11,_xlfn.NORM.S.DIST((_xlfn.NORM.S.INV($C$11)-SQRT($D$3)*$A133)/SQRT(1-$D$3),TRUE),TRUE))</f>
        <v/>
      </c>
      <c r="H133">
        <f>IF($D$12=0,1,1-_xlfn.BINOM.DIST($D$12-1,$B$12,_xlfn.NORM.S.DIST((_xlfn.NORM.S.INV($C$12)-SQRT($D$3)*$A133)/SQRT(1-$D$3),TRUE),TRUE))</f>
        <v/>
      </c>
      <c r="I133">
        <f>IF($D$13=0,1,1-_xlfn.BINOM.DIST($D$13-1,$B$13,_xlfn.NORM.S.DIST((_xlfn.NORM.S.INV($C$13)-SQRT($D$3)*$A133)/SQRT(1-$D$3),TRUE),TRUE))</f>
        <v/>
      </c>
      <c r="J133">
        <f>IF($D$14=0,1,1-_xlfn.BINOM.DIST($D$14-1,$B$14,_xlfn.NORM.S.DIST((_xlfn.NORM.S.INV($C$14)-SQRT($D$3)*$A133)/SQRT(1-$D$3),TRUE),TRUE))</f>
        <v/>
      </c>
    </row>
    <row r="134">
      <c r="A134" t="n">
        <v>3.4</v>
      </c>
      <c r="B134">
        <f>1.0*0.1*EXP(-(A134^2)/2)/SQRT(2*PI())</f>
        <v/>
      </c>
      <c r="C134">
        <f>IF($D$7=0,1,1-_xlfn.BINOM.DIST($D$7-1,$B$7,_xlfn.NORM.S.DIST((_xlfn.NORM.S.INV($C$7)-SQRT($D$3)*$A134)/SQRT(1-$D$3),TRUE),TRUE))</f>
        <v/>
      </c>
      <c r="D134">
        <f>IF($D$8=0,1,1-_xlfn.BINOM.DIST($D$8-1,$B$8,_xlfn.NORM.S.DIST((_xlfn.NORM.S.INV($C$8)-SQRT($D$3)*$A134)/SQRT(1-$D$3),TRUE),TRUE))</f>
        <v/>
      </c>
      <c r="E134">
        <f>IF($D$9=0,1,1-_xlfn.BINOM.DIST($D$9-1,$B$9,_xlfn.NORM.S.DIST((_xlfn.NORM.S.INV($C$9)-SQRT($D$3)*$A134)/SQRT(1-$D$3),TRUE),TRUE))</f>
        <v/>
      </c>
      <c r="F134">
        <f>IF($D$10=0,1,1-_xlfn.BINOM.DIST($D$10-1,$B$10,_xlfn.NORM.S.DIST((_xlfn.NORM.S.INV($C$10)-SQRT($D$3)*$A134)/SQRT(1-$D$3),TRUE),TRUE))</f>
        <v/>
      </c>
      <c r="G134">
        <f>IF($D$11=0,1,1-_xlfn.BINOM.DIST($D$11-1,$B$11,_xlfn.NORM.S.DIST((_xlfn.NORM.S.INV($C$11)-SQRT($D$3)*$A134)/SQRT(1-$D$3),TRUE),TRUE))</f>
        <v/>
      </c>
      <c r="H134">
        <f>IF($D$12=0,1,1-_xlfn.BINOM.DIST($D$12-1,$B$12,_xlfn.NORM.S.DIST((_xlfn.NORM.S.INV($C$12)-SQRT($D$3)*$A134)/SQRT(1-$D$3),TRUE),TRUE))</f>
        <v/>
      </c>
      <c r="I134">
        <f>IF($D$13=0,1,1-_xlfn.BINOM.DIST($D$13-1,$B$13,_xlfn.NORM.S.DIST((_xlfn.NORM.S.INV($C$13)-SQRT($D$3)*$A134)/SQRT(1-$D$3),TRUE),TRUE))</f>
        <v/>
      </c>
      <c r="J134">
        <f>IF($D$14=0,1,1-_xlfn.BINOM.DIST($D$14-1,$B$14,_xlfn.NORM.S.DIST((_xlfn.NORM.S.INV($C$14)-SQRT($D$3)*$A134)/SQRT(1-$D$3),TRUE),TRUE))</f>
        <v/>
      </c>
    </row>
    <row r="135">
      <c r="A135" t="n">
        <v>3.5</v>
      </c>
      <c r="B135">
        <f>1.0*0.1*EXP(-(A135^2)/2)/SQRT(2*PI())</f>
        <v/>
      </c>
      <c r="C135">
        <f>IF($D$7=0,1,1-_xlfn.BINOM.DIST($D$7-1,$B$7,_xlfn.NORM.S.DIST((_xlfn.NORM.S.INV($C$7)-SQRT($D$3)*$A135)/SQRT(1-$D$3),TRUE),TRUE))</f>
        <v/>
      </c>
      <c r="D135">
        <f>IF($D$8=0,1,1-_xlfn.BINOM.DIST($D$8-1,$B$8,_xlfn.NORM.S.DIST((_xlfn.NORM.S.INV($C$8)-SQRT($D$3)*$A135)/SQRT(1-$D$3),TRUE),TRUE))</f>
        <v/>
      </c>
      <c r="E135">
        <f>IF($D$9=0,1,1-_xlfn.BINOM.DIST($D$9-1,$B$9,_xlfn.NORM.S.DIST((_xlfn.NORM.S.INV($C$9)-SQRT($D$3)*$A135)/SQRT(1-$D$3),TRUE),TRUE))</f>
        <v/>
      </c>
      <c r="F135">
        <f>IF($D$10=0,1,1-_xlfn.BINOM.DIST($D$10-1,$B$10,_xlfn.NORM.S.DIST((_xlfn.NORM.S.INV($C$10)-SQRT($D$3)*$A135)/SQRT(1-$D$3),TRUE),TRUE))</f>
        <v/>
      </c>
      <c r="G135">
        <f>IF($D$11=0,1,1-_xlfn.BINOM.DIST($D$11-1,$B$11,_xlfn.NORM.S.DIST((_xlfn.NORM.S.INV($C$11)-SQRT($D$3)*$A135)/SQRT(1-$D$3),TRUE),TRUE))</f>
        <v/>
      </c>
      <c r="H135">
        <f>IF($D$12=0,1,1-_xlfn.BINOM.DIST($D$12-1,$B$12,_xlfn.NORM.S.DIST((_xlfn.NORM.S.INV($C$12)-SQRT($D$3)*$A135)/SQRT(1-$D$3),TRUE),TRUE))</f>
        <v/>
      </c>
      <c r="I135">
        <f>IF($D$13=0,1,1-_xlfn.BINOM.DIST($D$13-1,$B$13,_xlfn.NORM.S.DIST((_xlfn.NORM.S.INV($C$13)-SQRT($D$3)*$A135)/SQRT(1-$D$3),TRUE),TRUE))</f>
        <v/>
      </c>
      <c r="J135">
        <f>IF($D$14=0,1,1-_xlfn.BINOM.DIST($D$14-1,$B$14,_xlfn.NORM.S.DIST((_xlfn.NORM.S.INV($C$14)-SQRT($D$3)*$A135)/SQRT(1-$D$3),TRUE),TRUE))</f>
        <v/>
      </c>
    </row>
    <row r="136">
      <c r="A136" t="n">
        <v>3.6</v>
      </c>
      <c r="B136">
        <f>1.0*0.1*EXP(-(A136^2)/2)/SQRT(2*PI())</f>
        <v/>
      </c>
      <c r="C136">
        <f>IF($D$7=0,1,1-_xlfn.BINOM.DIST($D$7-1,$B$7,_xlfn.NORM.S.DIST((_xlfn.NORM.S.INV($C$7)-SQRT($D$3)*$A136)/SQRT(1-$D$3),TRUE),TRUE))</f>
        <v/>
      </c>
      <c r="D136">
        <f>IF($D$8=0,1,1-_xlfn.BINOM.DIST($D$8-1,$B$8,_xlfn.NORM.S.DIST((_xlfn.NORM.S.INV($C$8)-SQRT($D$3)*$A136)/SQRT(1-$D$3),TRUE),TRUE))</f>
        <v/>
      </c>
      <c r="E136">
        <f>IF($D$9=0,1,1-_xlfn.BINOM.DIST($D$9-1,$B$9,_xlfn.NORM.S.DIST((_xlfn.NORM.S.INV($C$9)-SQRT($D$3)*$A136)/SQRT(1-$D$3),TRUE),TRUE))</f>
        <v/>
      </c>
      <c r="F136">
        <f>IF($D$10=0,1,1-_xlfn.BINOM.DIST($D$10-1,$B$10,_xlfn.NORM.S.DIST((_xlfn.NORM.S.INV($C$10)-SQRT($D$3)*$A136)/SQRT(1-$D$3),TRUE),TRUE))</f>
        <v/>
      </c>
      <c r="G136">
        <f>IF($D$11=0,1,1-_xlfn.BINOM.DIST($D$11-1,$B$11,_xlfn.NORM.S.DIST((_xlfn.NORM.S.INV($C$11)-SQRT($D$3)*$A136)/SQRT(1-$D$3),TRUE),TRUE))</f>
        <v/>
      </c>
      <c r="H136">
        <f>IF($D$12=0,1,1-_xlfn.BINOM.DIST($D$12-1,$B$12,_xlfn.NORM.S.DIST((_xlfn.NORM.S.INV($C$12)-SQRT($D$3)*$A136)/SQRT(1-$D$3),TRUE),TRUE))</f>
        <v/>
      </c>
      <c r="I136">
        <f>IF($D$13=0,1,1-_xlfn.BINOM.DIST($D$13-1,$B$13,_xlfn.NORM.S.DIST((_xlfn.NORM.S.INV($C$13)-SQRT($D$3)*$A136)/SQRT(1-$D$3),TRUE),TRUE))</f>
        <v/>
      </c>
      <c r="J136">
        <f>IF($D$14=0,1,1-_xlfn.BINOM.DIST($D$14-1,$B$14,_xlfn.NORM.S.DIST((_xlfn.NORM.S.INV($C$14)-SQRT($D$3)*$A136)/SQRT(1-$D$3),TRUE),TRUE))</f>
        <v/>
      </c>
    </row>
    <row r="137">
      <c r="A137" t="n">
        <v>3.7</v>
      </c>
      <c r="B137">
        <f>1.0*0.1*EXP(-(A137^2)/2)/SQRT(2*PI())</f>
        <v/>
      </c>
      <c r="C137">
        <f>IF($D$7=0,1,1-_xlfn.BINOM.DIST($D$7-1,$B$7,_xlfn.NORM.S.DIST((_xlfn.NORM.S.INV($C$7)-SQRT($D$3)*$A137)/SQRT(1-$D$3),TRUE),TRUE))</f>
        <v/>
      </c>
      <c r="D137">
        <f>IF($D$8=0,1,1-_xlfn.BINOM.DIST($D$8-1,$B$8,_xlfn.NORM.S.DIST((_xlfn.NORM.S.INV($C$8)-SQRT($D$3)*$A137)/SQRT(1-$D$3),TRUE),TRUE))</f>
        <v/>
      </c>
      <c r="E137">
        <f>IF($D$9=0,1,1-_xlfn.BINOM.DIST($D$9-1,$B$9,_xlfn.NORM.S.DIST((_xlfn.NORM.S.INV($C$9)-SQRT($D$3)*$A137)/SQRT(1-$D$3),TRUE),TRUE))</f>
        <v/>
      </c>
      <c r="F137">
        <f>IF($D$10=0,1,1-_xlfn.BINOM.DIST($D$10-1,$B$10,_xlfn.NORM.S.DIST((_xlfn.NORM.S.INV($C$10)-SQRT($D$3)*$A137)/SQRT(1-$D$3),TRUE),TRUE))</f>
        <v/>
      </c>
      <c r="G137">
        <f>IF($D$11=0,1,1-_xlfn.BINOM.DIST($D$11-1,$B$11,_xlfn.NORM.S.DIST((_xlfn.NORM.S.INV($C$11)-SQRT($D$3)*$A137)/SQRT(1-$D$3),TRUE),TRUE))</f>
        <v/>
      </c>
      <c r="H137">
        <f>IF($D$12=0,1,1-_xlfn.BINOM.DIST($D$12-1,$B$12,_xlfn.NORM.S.DIST((_xlfn.NORM.S.INV($C$12)-SQRT($D$3)*$A137)/SQRT(1-$D$3),TRUE),TRUE))</f>
        <v/>
      </c>
      <c r="I137">
        <f>IF($D$13=0,1,1-_xlfn.BINOM.DIST($D$13-1,$B$13,_xlfn.NORM.S.DIST((_xlfn.NORM.S.INV($C$13)-SQRT($D$3)*$A137)/SQRT(1-$D$3),TRUE),TRUE))</f>
        <v/>
      </c>
      <c r="J137">
        <f>IF($D$14=0,1,1-_xlfn.BINOM.DIST($D$14-1,$B$14,_xlfn.NORM.S.DIST((_xlfn.NORM.S.INV($C$14)-SQRT($D$3)*$A137)/SQRT(1-$D$3),TRUE),TRUE))</f>
        <v/>
      </c>
    </row>
    <row r="138">
      <c r="A138" t="n">
        <v>3.8</v>
      </c>
      <c r="B138">
        <f>1.0*0.1*EXP(-(A138^2)/2)/SQRT(2*PI())</f>
        <v/>
      </c>
      <c r="C138">
        <f>IF($D$7=0,1,1-_xlfn.BINOM.DIST($D$7-1,$B$7,_xlfn.NORM.S.DIST((_xlfn.NORM.S.INV($C$7)-SQRT($D$3)*$A138)/SQRT(1-$D$3),TRUE),TRUE))</f>
        <v/>
      </c>
      <c r="D138">
        <f>IF($D$8=0,1,1-_xlfn.BINOM.DIST($D$8-1,$B$8,_xlfn.NORM.S.DIST((_xlfn.NORM.S.INV($C$8)-SQRT($D$3)*$A138)/SQRT(1-$D$3),TRUE),TRUE))</f>
        <v/>
      </c>
      <c r="E138">
        <f>IF($D$9=0,1,1-_xlfn.BINOM.DIST($D$9-1,$B$9,_xlfn.NORM.S.DIST((_xlfn.NORM.S.INV($C$9)-SQRT($D$3)*$A138)/SQRT(1-$D$3),TRUE),TRUE))</f>
        <v/>
      </c>
      <c r="F138">
        <f>IF($D$10=0,1,1-_xlfn.BINOM.DIST($D$10-1,$B$10,_xlfn.NORM.S.DIST((_xlfn.NORM.S.INV($C$10)-SQRT($D$3)*$A138)/SQRT(1-$D$3),TRUE),TRUE))</f>
        <v/>
      </c>
      <c r="G138">
        <f>IF($D$11=0,1,1-_xlfn.BINOM.DIST($D$11-1,$B$11,_xlfn.NORM.S.DIST((_xlfn.NORM.S.INV($C$11)-SQRT($D$3)*$A138)/SQRT(1-$D$3),TRUE),TRUE))</f>
        <v/>
      </c>
      <c r="H138">
        <f>IF($D$12=0,1,1-_xlfn.BINOM.DIST($D$12-1,$B$12,_xlfn.NORM.S.DIST((_xlfn.NORM.S.INV($C$12)-SQRT($D$3)*$A138)/SQRT(1-$D$3),TRUE),TRUE))</f>
        <v/>
      </c>
      <c r="I138">
        <f>IF($D$13=0,1,1-_xlfn.BINOM.DIST($D$13-1,$B$13,_xlfn.NORM.S.DIST((_xlfn.NORM.S.INV($C$13)-SQRT($D$3)*$A138)/SQRT(1-$D$3),TRUE),TRUE))</f>
        <v/>
      </c>
      <c r="J138">
        <f>IF($D$14=0,1,1-_xlfn.BINOM.DIST($D$14-1,$B$14,_xlfn.NORM.S.DIST((_xlfn.NORM.S.INV($C$14)-SQRT($D$3)*$A138)/SQRT(1-$D$3),TRUE),TRUE))</f>
        <v/>
      </c>
    </row>
    <row r="139">
      <c r="A139" t="n">
        <v>3.9</v>
      </c>
      <c r="B139">
        <f>1.0*0.1*EXP(-(A139^2)/2)/SQRT(2*PI())</f>
        <v/>
      </c>
      <c r="C139">
        <f>IF($D$7=0,1,1-_xlfn.BINOM.DIST($D$7-1,$B$7,_xlfn.NORM.S.DIST((_xlfn.NORM.S.INV($C$7)-SQRT($D$3)*$A139)/SQRT(1-$D$3),TRUE),TRUE))</f>
        <v/>
      </c>
      <c r="D139">
        <f>IF($D$8=0,1,1-_xlfn.BINOM.DIST($D$8-1,$B$8,_xlfn.NORM.S.DIST((_xlfn.NORM.S.INV($C$8)-SQRT($D$3)*$A139)/SQRT(1-$D$3),TRUE),TRUE))</f>
        <v/>
      </c>
      <c r="E139">
        <f>IF($D$9=0,1,1-_xlfn.BINOM.DIST($D$9-1,$B$9,_xlfn.NORM.S.DIST((_xlfn.NORM.S.INV($C$9)-SQRT($D$3)*$A139)/SQRT(1-$D$3),TRUE),TRUE))</f>
        <v/>
      </c>
      <c r="F139">
        <f>IF($D$10=0,1,1-_xlfn.BINOM.DIST($D$10-1,$B$10,_xlfn.NORM.S.DIST((_xlfn.NORM.S.INV($C$10)-SQRT($D$3)*$A139)/SQRT(1-$D$3),TRUE),TRUE))</f>
        <v/>
      </c>
      <c r="G139">
        <f>IF($D$11=0,1,1-_xlfn.BINOM.DIST($D$11-1,$B$11,_xlfn.NORM.S.DIST((_xlfn.NORM.S.INV($C$11)-SQRT($D$3)*$A139)/SQRT(1-$D$3),TRUE),TRUE))</f>
        <v/>
      </c>
      <c r="H139">
        <f>IF($D$12=0,1,1-_xlfn.BINOM.DIST($D$12-1,$B$12,_xlfn.NORM.S.DIST((_xlfn.NORM.S.INV($C$12)-SQRT($D$3)*$A139)/SQRT(1-$D$3),TRUE),TRUE))</f>
        <v/>
      </c>
      <c r="I139">
        <f>IF($D$13=0,1,1-_xlfn.BINOM.DIST($D$13-1,$B$13,_xlfn.NORM.S.DIST((_xlfn.NORM.S.INV($C$13)-SQRT($D$3)*$A139)/SQRT(1-$D$3),TRUE),TRUE))</f>
        <v/>
      </c>
      <c r="J139">
        <f>IF($D$14=0,1,1-_xlfn.BINOM.DIST($D$14-1,$B$14,_xlfn.NORM.S.DIST((_xlfn.NORM.S.INV($C$14)-SQRT($D$3)*$A139)/SQRT(1-$D$3),TRUE),TRUE))</f>
        <v/>
      </c>
    </row>
    <row r="140">
      <c r="A140" t="n">
        <v>4</v>
      </c>
      <c r="B140">
        <f>1.0*0.1*EXP(-(A140^2)/2)/SQRT(2*PI())</f>
        <v/>
      </c>
      <c r="C140">
        <f>IF($D$7=0,1,1-_xlfn.BINOM.DIST($D$7-1,$B$7,_xlfn.NORM.S.DIST((_xlfn.NORM.S.INV($C$7)-SQRT($D$3)*$A140)/SQRT(1-$D$3),TRUE),TRUE))</f>
        <v/>
      </c>
      <c r="D140">
        <f>IF($D$8=0,1,1-_xlfn.BINOM.DIST($D$8-1,$B$8,_xlfn.NORM.S.DIST((_xlfn.NORM.S.INV($C$8)-SQRT($D$3)*$A140)/SQRT(1-$D$3),TRUE),TRUE))</f>
        <v/>
      </c>
      <c r="E140">
        <f>IF($D$9=0,1,1-_xlfn.BINOM.DIST($D$9-1,$B$9,_xlfn.NORM.S.DIST((_xlfn.NORM.S.INV($C$9)-SQRT($D$3)*$A140)/SQRT(1-$D$3),TRUE),TRUE))</f>
        <v/>
      </c>
      <c r="F140">
        <f>IF($D$10=0,1,1-_xlfn.BINOM.DIST($D$10-1,$B$10,_xlfn.NORM.S.DIST((_xlfn.NORM.S.INV($C$10)-SQRT($D$3)*$A140)/SQRT(1-$D$3),TRUE),TRUE))</f>
        <v/>
      </c>
      <c r="G140">
        <f>IF($D$11=0,1,1-_xlfn.BINOM.DIST($D$11-1,$B$11,_xlfn.NORM.S.DIST((_xlfn.NORM.S.INV($C$11)-SQRT($D$3)*$A140)/SQRT(1-$D$3),TRUE),TRUE))</f>
        <v/>
      </c>
      <c r="H140">
        <f>IF($D$12=0,1,1-_xlfn.BINOM.DIST($D$12-1,$B$12,_xlfn.NORM.S.DIST((_xlfn.NORM.S.INV($C$12)-SQRT($D$3)*$A140)/SQRT(1-$D$3),TRUE),TRUE))</f>
        <v/>
      </c>
      <c r="I140">
        <f>IF($D$13=0,1,1-_xlfn.BINOM.DIST($D$13-1,$B$13,_xlfn.NORM.S.DIST((_xlfn.NORM.S.INV($C$13)-SQRT($D$3)*$A140)/SQRT(1-$D$3),TRUE),TRUE))</f>
        <v/>
      </c>
      <c r="J140">
        <f>IF($D$14=0,1,1-_xlfn.BINOM.DIST($D$14-1,$B$14,_xlfn.NORM.S.DIST((_xlfn.NORM.S.INV($C$14)-SQRT($D$3)*$A140)/SQRT(1-$D$3),TRUE),TRUE))</f>
        <v/>
      </c>
    </row>
    <row r="141">
      <c r="A141" t="n">
        <v>4.1</v>
      </c>
      <c r="B141">
        <f>1.0*0.1*EXP(-(A141^2)/2)/SQRT(2*PI())</f>
        <v/>
      </c>
      <c r="C141">
        <f>IF($D$7=0,1,1-_xlfn.BINOM.DIST($D$7-1,$B$7,_xlfn.NORM.S.DIST((_xlfn.NORM.S.INV($C$7)-SQRT($D$3)*$A141)/SQRT(1-$D$3),TRUE),TRUE))</f>
        <v/>
      </c>
      <c r="D141">
        <f>IF($D$8=0,1,1-_xlfn.BINOM.DIST($D$8-1,$B$8,_xlfn.NORM.S.DIST((_xlfn.NORM.S.INV($C$8)-SQRT($D$3)*$A141)/SQRT(1-$D$3),TRUE),TRUE))</f>
        <v/>
      </c>
      <c r="E141">
        <f>IF($D$9=0,1,1-_xlfn.BINOM.DIST($D$9-1,$B$9,_xlfn.NORM.S.DIST((_xlfn.NORM.S.INV($C$9)-SQRT($D$3)*$A141)/SQRT(1-$D$3),TRUE),TRUE))</f>
        <v/>
      </c>
      <c r="F141">
        <f>IF($D$10=0,1,1-_xlfn.BINOM.DIST($D$10-1,$B$10,_xlfn.NORM.S.DIST((_xlfn.NORM.S.INV($C$10)-SQRT($D$3)*$A141)/SQRT(1-$D$3),TRUE),TRUE))</f>
        <v/>
      </c>
      <c r="G141">
        <f>IF($D$11=0,1,1-_xlfn.BINOM.DIST($D$11-1,$B$11,_xlfn.NORM.S.DIST((_xlfn.NORM.S.INV($C$11)-SQRT($D$3)*$A141)/SQRT(1-$D$3),TRUE),TRUE))</f>
        <v/>
      </c>
      <c r="H141">
        <f>IF($D$12=0,1,1-_xlfn.BINOM.DIST($D$12-1,$B$12,_xlfn.NORM.S.DIST((_xlfn.NORM.S.INV($C$12)-SQRT($D$3)*$A141)/SQRT(1-$D$3),TRUE),TRUE))</f>
        <v/>
      </c>
      <c r="I141">
        <f>IF($D$13=0,1,1-_xlfn.BINOM.DIST($D$13-1,$B$13,_xlfn.NORM.S.DIST((_xlfn.NORM.S.INV($C$13)-SQRT($D$3)*$A141)/SQRT(1-$D$3),TRUE),TRUE))</f>
        <v/>
      </c>
      <c r="J141">
        <f>IF($D$14=0,1,1-_xlfn.BINOM.DIST($D$14-1,$B$14,_xlfn.NORM.S.DIST((_xlfn.NORM.S.INV($C$14)-SQRT($D$3)*$A141)/SQRT(1-$D$3),TRUE),TRUE))</f>
        <v/>
      </c>
    </row>
    <row r="142">
      <c r="A142" t="n">
        <v>4.2</v>
      </c>
      <c r="B142">
        <f>1.0*0.1*EXP(-(A142^2)/2)/SQRT(2*PI())</f>
        <v/>
      </c>
      <c r="C142">
        <f>IF($D$7=0,1,1-_xlfn.BINOM.DIST($D$7-1,$B$7,_xlfn.NORM.S.DIST((_xlfn.NORM.S.INV($C$7)-SQRT($D$3)*$A142)/SQRT(1-$D$3),TRUE),TRUE))</f>
        <v/>
      </c>
      <c r="D142">
        <f>IF($D$8=0,1,1-_xlfn.BINOM.DIST($D$8-1,$B$8,_xlfn.NORM.S.DIST((_xlfn.NORM.S.INV($C$8)-SQRT($D$3)*$A142)/SQRT(1-$D$3),TRUE),TRUE))</f>
        <v/>
      </c>
      <c r="E142">
        <f>IF($D$9=0,1,1-_xlfn.BINOM.DIST($D$9-1,$B$9,_xlfn.NORM.S.DIST((_xlfn.NORM.S.INV($C$9)-SQRT($D$3)*$A142)/SQRT(1-$D$3),TRUE),TRUE))</f>
        <v/>
      </c>
      <c r="F142">
        <f>IF($D$10=0,1,1-_xlfn.BINOM.DIST($D$10-1,$B$10,_xlfn.NORM.S.DIST((_xlfn.NORM.S.INV($C$10)-SQRT($D$3)*$A142)/SQRT(1-$D$3),TRUE),TRUE))</f>
        <v/>
      </c>
      <c r="G142">
        <f>IF($D$11=0,1,1-_xlfn.BINOM.DIST($D$11-1,$B$11,_xlfn.NORM.S.DIST((_xlfn.NORM.S.INV($C$11)-SQRT($D$3)*$A142)/SQRT(1-$D$3),TRUE),TRUE))</f>
        <v/>
      </c>
      <c r="H142">
        <f>IF($D$12=0,1,1-_xlfn.BINOM.DIST($D$12-1,$B$12,_xlfn.NORM.S.DIST((_xlfn.NORM.S.INV($C$12)-SQRT($D$3)*$A142)/SQRT(1-$D$3),TRUE),TRUE))</f>
        <v/>
      </c>
      <c r="I142">
        <f>IF($D$13=0,1,1-_xlfn.BINOM.DIST($D$13-1,$B$13,_xlfn.NORM.S.DIST((_xlfn.NORM.S.INV($C$13)-SQRT($D$3)*$A142)/SQRT(1-$D$3),TRUE),TRUE))</f>
        <v/>
      </c>
      <c r="J142">
        <f>IF($D$14=0,1,1-_xlfn.BINOM.DIST($D$14-1,$B$14,_xlfn.NORM.S.DIST((_xlfn.NORM.S.INV($C$14)-SQRT($D$3)*$A142)/SQRT(1-$D$3),TRUE),TRUE))</f>
        <v/>
      </c>
    </row>
    <row r="143">
      <c r="A143" t="n">
        <v>4.3</v>
      </c>
      <c r="B143">
        <f>1.0*0.1*EXP(-(A143^2)/2)/SQRT(2*PI())</f>
        <v/>
      </c>
      <c r="C143">
        <f>IF($D$7=0,1,1-_xlfn.BINOM.DIST($D$7-1,$B$7,_xlfn.NORM.S.DIST((_xlfn.NORM.S.INV($C$7)-SQRT($D$3)*$A143)/SQRT(1-$D$3),TRUE),TRUE))</f>
        <v/>
      </c>
      <c r="D143">
        <f>IF($D$8=0,1,1-_xlfn.BINOM.DIST($D$8-1,$B$8,_xlfn.NORM.S.DIST((_xlfn.NORM.S.INV($C$8)-SQRT($D$3)*$A143)/SQRT(1-$D$3),TRUE),TRUE))</f>
        <v/>
      </c>
      <c r="E143">
        <f>IF($D$9=0,1,1-_xlfn.BINOM.DIST($D$9-1,$B$9,_xlfn.NORM.S.DIST((_xlfn.NORM.S.INV($C$9)-SQRT($D$3)*$A143)/SQRT(1-$D$3),TRUE),TRUE))</f>
        <v/>
      </c>
      <c r="F143">
        <f>IF($D$10=0,1,1-_xlfn.BINOM.DIST($D$10-1,$B$10,_xlfn.NORM.S.DIST((_xlfn.NORM.S.INV($C$10)-SQRT($D$3)*$A143)/SQRT(1-$D$3),TRUE),TRUE))</f>
        <v/>
      </c>
      <c r="G143">
        <f>IF($D$11=0,1,1-_xlfn.BINOM.DIST($D$11-1,$B$11,_xlfn.NORM.S.DIST((_xlfn.NORM.S.INV($C$11)-SQRT($D$3)*$A143)/SQRT(1-$D$3),TRUE),TRUE))</f>
        <v/>
      </c>
      <c r="H143">
        <f>IF($D$12=0,1,1-_xlfn.BINOM.DIST($D$12-1,$B$12,_xlfn.NORM.S.DIST((_xlfn.NORM.S.INV($C$12)-SQRT($D$3)*$A143)/SQRT(1-$D$3),TRUE),TRUE))</f>
        <v/>
      </c>
      <c r="I143">
        <f>IF($D$13=0,1,1-_xlfn.BINOM.DIST($D$13-1,$B$13,_xlfn.NORM.S.DIST((_xlfn.NORM.S.INV($C$13)-SQRT($D$3)*$A143)/SQRT(1-$D$3),TRUE),TRUE))</f>
        <v/>
      </c>
      <c r="J143">
        <f>IF($D$14=0,1,1-_xlfn.BINOM.DIST($D$14-1,$B$14,_xlfn.NORM.S.DIST((_xlfn.NORM.S.INV($C$14)-SQRT($D$3)*$A143)/SQRT(1-$D$3),TRUE),TRUE))</f>
        <v/>
      </c>
    </row>
    <row r="144">
      <c r="A144" t="n">
        <v>4.4</v>
      </c>
      <c r="B144">
        <f>1.0*0.1*EXP(-(A144^2)/2)/SQRT(2*PI())</f>
        <v/>
      </c>
      <c r="C144">
        <f>IF($D$7=0,1,1-_xlfn.BINOM.DIST($D$7-1,$B$7,_xlfn.NORM.S.DIST((_xlfn.NORM.S.INV($C$7)-SQRT($D$3)*$A144)/SQRT(1-$D$3),TRUE),TRUE))</f>
        <v/>
      </c>
      <c r="D144">
        <f>IF($D$8=0,1,1-_xlfn.BINOM.DIST($D$8-1,$B$8,_xlfn.NORM.S.DIST((_xlfn.NORM.S.INV($C$8)-SQRT($D$3)*$A144)/SQRT(1-$D$3),TRUE),TRUE))</f>
        <v/>
      </c>
      <c r="E144">
        <f>IF($D$9=0,1,1-_xlfn.BINOM.DIST($D$9-1,$B$9,_xlfn.NORM.S.DIST((_xlfn.NORM.S.INV($C$9)-SQRT($D$3)*$A144)/SQRT(1-$D$3),TRUE),TRUE))</f>
        <v/>
      </c>
      <c r="F144">
        <f>IF($D$10=0,1,1-_xlfn.BINOM.DIST($D$10-1,$B$10,_xlfn.NORM.S.DIST((_xlfn.NORM.S.INV($C$10)-SQRT($D$3)*$A144)/SQRT(1-$D$3),TRUE),TRUE))</f>
        <v/>
      </c>
      <c r="G144">
        <f>IF($D$11=0,1,1-_xlfn.BINOM.DIST($D$11-1,$B$11,_xlfn.NORM.S.DIST((_xlfn.NORM.S.INV($C$11)-SQRT($D$3)*$A144)/SQRT(1-$D$3),TRUE),TRUE))</f>
        <v/>
      </c>
      <c r="H144">
        <f>IF($D$12=0,1,1-_xlfn.BINOM.DIST($D$12-1,$B$12,_xlfn.NORM.S.DIST((_xlfn.NORM.S.INV($C$12)-SQRT($D$3)*$A144)/SQRT(1-$D$3),TRUE),TRUE))</f>
        <v/>
      </c>
      <c r="I144">
        <f>IF($D$13=0,1,1-_xlfn.BINOM.DIST($D$13-1,$B$13,_xlfn.NORM.S.DIST((_xlfn.NORM.S.INV($C$13)-SQRT($D$3)*$A144)/SQRT(1-$D$3),TRUE),TRUE))</f>
        <v/>
      </c>
      <c r="J144">
        <f>IF($D$14=0,1,1-_xlfn.BINOM.DIST($D$14-1,$B$14,_xlfn.NORM.S.DIST((_xlfn.NORM.S.INV($C$14)-SQRT($D$3)*$A144)/SQRT(1-$D$3),TRUE),TRUE))</f>
        <v/>
      </c>
    </row>
    <row r="145">
      <c r="A145" t="n">
        <v>4.5</v>
      </c>
      <c r="B145">
        <f>1.0*0.1*EXP(-(A145^2)/2)/SQRT(2*PI())</f>
        <v/>
      </c>
      <c r="C145">
        <f>IF($D$7=0,1,1-_xlfn.BINOM.DIST($D$7-1,$B$7,_xlfn.NORM.S.DIST((_xlfn.NORM.S.INV($C$7)-SQRT($D$3)*$A145)/SQRT(1-$D$3),TRUE),TRUE))</f>
        <v/>
      </c>
      <c r="D145">
        <f>IF($D$8=0,1,1-_xlfn.BINOM.DIST($D$8-1,$B$8,_xlfn.NORM.S.DIST((_xlfn.NORM.S.INV($C$8)-SQRT($D$3)*$A145)/SQRT(1-$D$3),TRUE),TRUE))</f>
        <v/>
      </c>
      <c r="E145">
        <f>IF($D$9=0,1,1-_xlfn.BINOM.DIST($D$9-1,$B$9,_xlfn.NORM.S.DIST((_xlfn.NORM.S.INV($C$9)-SQRT($D$3)*$A145)/SQRT(1-$D$3),TRUE),TRUE))</f>
        <v/>
      </c>
      <c r="F145">
        <f>IF($D$10=0,1,1-_xlfn.BINOM.DIST($D$10-1,$B$10,_xlfn.NORM.S.DIST((_xlfn.NORM.S.INV($C$10)-SQRT($D$3)*$A145)/SQRT(1-$D$3),TRUE),TRUE))</f>
        <v/>
      </c>
      <c r="G145">
        <f>IF($D$11=0,1,1-_xlfn.BINOM.DIST($D$11-1,$B$11,_xlfn.NORM.S.DIST((_xlfn.NORM.S.INV($C$11)-SQRT($D$3)*$A145)/SQRT(1-$D$3),TRUE),TRUE))</f>
        <v/>
      </c>
      <c r="H145">
        <f>IF($D$12=0,1,1-_xlfn.BINOM.DIST($D$12-1,$B$12,_xlfn.NORM.S.DIST((_xlfn.NORM.S.INV($C$12)-SQRT($D$3)*$A145)/SQRT(1-$D$3),TRUE),TRUE))</f>
        <v/>
      </c>
      <c r="I145">
        <f>IF($D$13=0,1,1-_xlfn.BINOM.DIST($D$13-1,$B$13,_xlfn.NORM.S.DIST((_xlfn.NORM.S.INV($C$13)-SQRT($D$3)*$A145)/SQRT(1-$D$3),TRUE),TRUE))</f>
        <v/>
      </c>
      <c r="J145">
        <f>IF($D$14=0,1,1-_xlfn.BINOM.DIST($D$14-1,$B$14,_xlfn.NORM.S.DIST((_xlfn.NORM.S.INV($C$14)-SQRT($D$3)*$A145)/SQRT(1-$D$3),TRUE),TRUE))</f>
        <v/>
      </c>
    </row>
    <row r="146">
      <c r="A146" t="n">
        <v>4.6</v>
      </c>
      <c r="B146">
        <f>1.0*0.1*EXP(-(A146^2)/2)/SQRT(2*PI())</f>
        <v/>
      </c>
      <c r="C146">
        <f>IF($D$7=0,1,1-_xlfn.BINOM.DIST($D$7-1,$B$7,_xlfn.NORM.S.DIST((_xlfn.NORM.S.INV($C$7)-SQRT($D$3)*$A146)/SQRT(1-$D$3),TRUE),TRUE))</f>
        <v/>
      </c>
      <c r="D146">
        <f>IF($D$8=0,1,1-_xlfn.BINOM.DIST($D$8-1,$B$8,_xlfn.NORM.S.DIST((_xlfn.NORM.S.INV($C$8)-SQRT($D$3)*$A146)/SQRT(1-$D$3),TRUE),TRUE))</f>
        <v/>
      </c>
      <c r="E146">
        <f>IF($D$9=0,1,1-_xlfn.BINOM.DIST($D$9-1,$B$9,_xlfn.NORM.S.DIST((_xlfn.NORM.S.INV($C$9)-SQRT($D$3)*$A146)/SQRT(1-$D$3),TRUE),TRUE))</f>
        <v/>
      </c>
      <c r="F146">
        <f>IF($D$10=0,1,1-_xlfn.BINOM.DIST($D$10-1,$B$10,_xlfn.NORM.S.DIST((_xlfn.NORM.S.INV($C$10)-SQRT($D$3)*$A146)/SQRT(1-$D$3),TRUE),TRUE))</f>
        <v/>
      </c>
      <c r="G146">
        <f>IF($D$11=0,1,1-_xlfn.BINOM.DIST($D$11-1,$B$11,_xlfn.NORM.S.DIST((_xlfn.NORM.S.INV($C$11)-SQRT($D$3)*$A146)/SQRT(1-$D$3),TRUE),TRUE))</f>
        <v/>
      </c>
      <c r="H146">
        <f>IF($D$12=0,1,1-_xlfn.BINOM.DIST($D$12-1,$B$12,_xlfn.NORM.S.DIST((_xlfn.NORM.S.INV($C$12)-SQRT($D$3)*$A146)/SQRT(1-$D$3),TRUE),TRUE))</f>
        <v/>
      </c>
      <c r="I146">
        <f>IF($D$13=0,1,1-_xlfn.BINOM.DIST($D$13-1,$B$13,_xlfn.NORM.S.DIST((_xlfn.NORM.S.INV($C$13)-SQRT($D$3)*$A146)/SQRT(1-$D$3),TRUE),TRUE))</f>
        <v/>
      </c>
      <c r="J146">
        <f>IF($D$14=0,1,1-_xlfn.BINOM.DIST($D$14-1,$B$14,_xlfn.NORM.S.DIST((_xlfn.NORM.S.INV($C$14)-SQRT($D$3)*$A146)/SQRT(1-$D$3),TRUE),TRUE))</f>
        <v/>
      </c>
    </row>
    <row r="147">
      <c r="A147" t="n">
        <v>4.7</v>
      </c>
      <c r="B147">
        <f>1.0*0.1*EXP(-(A147^2)/2)/SQRT(2*PI())</f>
        <v/>
      </c>
      <c r="C147">
        <f>IF($D$7=0,1,1-_xlfn.BINOM.DIST($D$7-1,$B$7,_xlfn.NORM.S.DIST((_xlfn.NORM.S.INV($C$7)-SQRT($D$3)*$A147)/SQRT(1-$D$3),TRUE),TRUE))</f>
        <v/>
      </c>
      <c r="D147">
        <f>IF($D$8=0,1,1-_xlfn.BINOM.DIST($D$8-1,$B$8,_xlfn.NORM.S.DIST((_xlfn.NORM.S.INV($C$8)-SQRT($D$3)*$A147)/SQRT(1-$D$3),TRUE),TRUE))</f>
        <v/>
      </c>
      <c r="E147">
        <f>IF($D$9=0,1,1-_xlfn.BINOM.DIST($D$9-1,$B$9,_xlfn.NORM.S.DIST((_xlfn.NORM.S.INV($C$9)-SQRT($D$3)*$A147)/SQRT(1-$D$3),TRUE),TRUE))</f>
        <v/>
      </c>
      <c r="F147">
        <f>IF($D$10=0,1,1-_xlfn.BINOM.DIST($D$10-1,$B$10,_xlfn.NORM.S.DIST((_xlfn.NORM.S.INV($C$10)-SQRT($D$3)*$A147)/SQRT(1-$D$3),TRUE),TRUE))</f>
        <v/>
      </c>
      <c r="G147">
        <f>IF($D$11=0,1,1-_xlfn.BINOM.DIST($D$11-1,$B$11,_xlfn.NORM.S.DIST((_xlfn.NORM.S.INV($C$11)-SQRT($D$3)*$A147)/SQRT(1-$D$3),TRUE),TRUE))</f>
        <v/>
      </c>
      <c r="H147">
        <f>IF($D$12=0,1,1-_xlfn.BINOM.DIST($D$12-1,$B$12,_xlfn.NORM.S.DIST((_xlfn.NORM.S.INV($C$12)-SQRT($D$3)*$A147)/SQRT(1-$D$3),TRUE),TRUE))</f>
        <v/>
      </c>
      <c r="I147">
        <f>IF($D$13=0,1,1-_xlfn.BINOM.DIST($D$13-1,$B$13,_xlfn.NORM.S.DIST((_xlfn.NORM.S.INV($C$13)-SQRT($D$3)*$A147)/SQRT(1-$D$3),TRUE),TRUE))</f>
        <v/>
      </c>
      <c r="J147">
        <f>IF($D$14=0,1,1-_xlfn.BINOM.DIST($D$14-1,$B$14,_xlfn.NORM.S.DIST((_xlfn.NORM.S.INV($C$14)-SQRT($D$3)*$A147)/SQRT(1-$D$3),TRUE),TRUE))</f>
        <v/>
      </c>
    </row>
    <row r="148">
      <c r="A148" t="n">
        <v>4.8</v>
      </c>
      <c r="B148">
        <f>1.0*0.1*EXP(-(A148^2)/2)/SQRT(2*PI())</f>
        <v/>
      </c>
      <c r="C148">
        <f>IF($D$7=0,1,1-_xlfn.BINOM.DIST($D$7-1,$B$7,_xlfn.NORM.S.DIST((_xlfn.NORM.S.INV($C$7)-SQRT($D$3)*$A148)/SQRT(1-$D$3),TRUE),TRUE))</f>
        <v/>
      </c>
      <c r="D148">
        <f>IF($D$8=0,1,1-_xlfn.BINOM.DIST($D$8-1,$B$8,_xlfn.NORM.S.DIST((_xlfn.NORM.S.INV($C$8)-SQRT($D$3)*$A148)/SQRT(1-$D$3),TRUE),TRUE))</f>
        <v/>
      </c>
      <c r="E148">
        <f>IF($D$9=0,1,1-_xlfn.BINOM.DIST($D$9-1,$B$9,_xlfn.NORM.S.DIST((_xlfn.NORM.S.INV($C$9)-SQRT($D$3)*$A148)/SQRT(1-$D$3),TRUE),TRUE))</f>
        <v/>
      </c>
      <c r="F148">
        <f>IF($D$10=0,1,1-_xlfn.BINOM.DIST($D$10-1,$B$10,_xlfn.NORM.S.DIST((_xlfn.NORM.S.INV($C$10)-SQRT($D$3)*$A148)/SQRT(1-$D$3),TRUE),TRUE))</f>
        <v/>
      </c>
      <c r="G148">
        <f>IF($D$11=0,1,1-_xlfn.BINOM.DIST($D$11-1,$B$11,_xlfn.NORM.S.DIST((_xlfn.NORM.S.INV($C$11)-SQRT($D$3)*$A148)/SQRT(1-$D$3),TRUE),TRUE))</f>
        <v/>
      </c>
      <c r="H148">
        <f>IF($D$12=0,1,1-_xlfn.BINOM.DIST($D$12-1,$B$12,_xlfn.NORM.S.DIST((_xlfn.NORM.S.INV($C$12)-SQRT($D$3)*$A148)/SQRT(1-$D$3),TRUE),TRUE))</f>
        <v/>
      </c>
      <c r="I148">
        <f>IF($D$13=0,1,1-_xlfn.BINOM.DIST($D$13-1,$B$13,_xlfn.NORM.S.DIST((_xlfn.NORM.S.INV($C$13)-SQRT($D$3)*$A148)/SQRT(1-$D$3),TRUE),TRUE))</f>
        <v/>
      </c>
      <c r="J148">
        <f>IF($D$14=0,1,1-_xlfn.BINOM.DIST($D$14-1,$B$14,_xlfn.NORM.S.DIST((_xlfn.NORM.S.INV($C$14)-SQRT($D$3)*$A148)/SQRT(1-$D$3),TRUE),TRUE))</f>
        <v/>
      </c>
    </row>
    <row r="149">
      <c r="A149" t="n">
        <v>4.9</v>
      </c>
      <c r="B149">
        <f>1.0*0.1*EXP(-(A149^2)/2)/SQRT(2*PI())</f>
        <v/>
      </c>
      <c r="C149">
        <f>IF($D$7=0,1,1-_xlfn.BINOM.DIST($D$7-1,$B$7,_xlfn.NORM.S.DIST((_xlfn.NORM.S.INV($C$7)-SQRT($D$3)*$A149)/SQRT(1-$D$3),TRUE),TRUE))</f>
        <v/>
      </c>
      <c r="D149">
        <f>IF($D$8=0,1,1-_xlfn.BINOM.DIST($D$8-1,$B$8,_xlfn.NORM.S.DIST((_xlfn.NORM.S.INV($C$8)-SQRT($D$3)*$A149)/SQRT(1-$D$3),TRUE),TRUE))</f>
        <v/>
      </c>
      <c r="E149">
        <f>IF($D$9=0,1,1-_xlfn.BINOM.DIST($D$9-1,$B$9,_xlfn.NORM.S.DIST((_xlfn.NORM.S.INV($C$9)-SQRT($D$3)*$A149)/SQRT(1-$D$3),TRUE),TRUE))</f>
        <v/>
      </c>
      <c r="F149">
        <f>IF($D$10=0,1,1-_xlfn.BINOM.DIST($D$10-1,$B$10,_xlfn.NORM.S.DIST((_xlfn.NORM.S.INV($C$10)-SQRT($D$3)*$A149)/SQRT(1-$D$3),TRUE),TRUE))</f>
        <v/>
      </c>
      <c r="G149">
        <f>IF($D$11=0,1,1-_xlfn.BINOM.DIST($D$11-1,$B$11,_xlfn.NORM.S.DIST((_xlfn.NORM.S.INV($C$11)-SQRT($D$3)*$A149)/SQRT(1-$D$3),TRUE),TRUE))</f>
        <v/>
      </c>
      <c r="H149">
        <f>IF($D$12=0,1,1-_xlfn.BINOM.DIST($D$12-1,$B$12,_xlfn.NORM.S.DIST((_xlfn.NORM.S.INV($C$12)-SQRT($D$3)*$A149)/SQRT(1-$D$3),TRUE),TRUE))</f>
        <v/>
      </c>
      <c r="I149">
        <f>IF($D$13=0,1,1-_xlfn.BINOM.DIST($D$13-1,$B$13,_xlfn.NORM.S.DIST((_xlfn.NORM.S.INV($C$13)-SQRT($D$3)*$A149)/SQRT(1-$D$3),TRUE),TRUE))</f>
        <v/>
      </c>
      <c r="J149">
        <f>IF($D$14=0,1,1-_xlfn.BINOM.DIST($D$14-1,$B$14,_xlfn.NORM.S.DIST((_xlfn.NORM.S.INV($C$14)-SQRT($D$3)*$A149)/SQRT(1-$D$3),TRUE),TRUE))</f>
        <v/>
      </c>
    </row>
    <row r="150">
      <c r="A150" t="n">
        <v>5</v>
      </c>
      <c r="B150">
        <f>1.0*0.1*EXP(-(A150^2)/2)/SQRT(2*PI())</f>
        <v/>
      </c>
      <c r="C150">
        <f>IF($D$7=0,1,1-_xlfn.BINOM.DIST($D$7-1,$B$7,_xlfn.NORM.S.DIST((_xlfn.NORM.S.INV($C$7)-SQRT($D$3)*$A150)/SQRT(1-$D$3),TRUE),TRUE))</f>
        <v/>
      </c>
      <c r="D150">
        <f>IF($D$8=0,1,1-_xlfn.BINOM.DIST($D$8-1,$B$8,_xlfn.NORM.S.DIST((_xlfn.NORM.S.INV($C$8)-SQRT($D$3)*$A150)/SQRT(1-$D$3),TRUE),TRUE))</f>
        <v/>
      </c>
      <c r="E150">
        <f>IF($D$9=0,1,1-_xlfn.BINOM.DIST($D$9-1,$B$9,_xlfn.NORM.S.DIST((_xlfn.NORM.S.INV($C$9)-SQRT($D$3)*$A150)/SQRT(1-$D$3),TRUE),TRUE))</f>
        <v/>
      </c>
      <c r="F150">
        <f>IF($D$10=0,1,1-_xlfn.BINOM.DIST($D$10-1,$B$10,_xlfn.NORM.S.DIST((_xlfn.NORM.S.INV($C$10)-SQRT($D$3)*$A150)/SQRT(1-$D$3),TRUE),TRUE))</f>
        <v/>
      </c>
      <c r="G150">
        <f>IF($D$11=0,1,1-_xlfn.BINOM.DIST($D$11-1,$B$11,_xlfn.NORM.S.DIST((_xlfn.NORM.S.INV($C$11)-SQRT($D$3)*$A150)/SQRT(1-$D$3),TRUE),TRUE))</f>
        <v/>
      </c>
      <c r="H150">
        <f>IF($D$12=0,1,1-_xlfn.BINOM.DIST($D$12-1,$B$12,_xlfn.NORM.S.DIST((_xlfn.NORM.S.INV($C$12)-SQRT($D$3)*$A150)/SQRT(1-$D$3),TRUE),TRUE))</f>
        <v/>
      </c>
      <c r="I150">
        <f>IF($D$13=0,1,1-_xlfn.BINOM.DIST($D$13-1,$B$13,_xlfn.NORM.S.DIST((_xlfn.NORM.S.INV($C$13)-SQRT($D$3)*$A150)/SQRT(1-$D$3),TRUE),TRUE))</f>
        <v/>
      </c>
      <c r="J150">
        <f>IF($D$14=0,1,1-_xlfn.BINOM.DIST($D$14-1,$B$14,_xlfn.NORM.S.DIST((_xlfn.NORM.S.INV($C$14)-SQRT($D$3)*$A150)/SQRT(1-$D$3),TRUE),TRUE))</f>
        <v/>
      </c>
    </row>
    <row r="151">
      <c r="A151" t="n">
        <v>5.1</v>
      </c>
      <c r="B151">
        <f>1.0*0.1*EXP(-(A151^2)/2)/SQRT(2*PI())</f>
        <v/>
      </c>
      <c r="C151">
        <f>IF($D$7=0,1,1-_xlfn.BINOM.DIST($D$7-1,$B$7,_xlfn.NORM.S.DIST((_xlfn.NORM.S.INV($C$7)-SQRT($D$3)*$A151)/SQRT(1-$D$3),TRUE),TRUE))</f>
        <v/>
      </c>
      <c r="D151">
        <f>IF($D$8=0,1,1-_xlfn.BINOM.DIST($D$8-1,$B$8,_xlfn.NORM.S.DIST((_xlfn.NORM.S.INV($C$8)-SQRT($D$3)*$A151)/SQRT(1-$D$3),TRUE),TRUE))</f>
        <v/>
      </c>
      <c r="E151">
        <f>IF($D$9=0,1,1-_xlfn.BINOM.DIST($D$9-1,$B$9,_xlfn.NORM.S.DIST((_xlfn.NORM.S.INV($C$9)-SQRT($D$3)*$A151)/SQRT(1-$D$3),TRUE),TRUE))</f>
        <v/>
      </c>
      <c r="F151">
        <f>IF($D$10=0,1,1-_xlfn.BINOM.DIST($D$10-1,$B$10,_xlfn.NORM.S.DIST((_xlfn.NORM.S.INV($C$10)-SQRT($D$3)*$A151)/SQRT(1-$D$3),TRUE),TRUE))</f>
        <v/>
      </c>
      <c r="G151">
        <f>IF($D$11=0,1,1-_xlfn.BINOM.DIST($D$11-1,$B$11,_xlfn.NORM.S.DIST((_xlfn.NORM.S.INV($C$11)-SQRT($D$3)*$A151)/SQRT(1-$D$3),TRUE),TRUE))</f>
        <v/>
      </c>
      <c r="H151">
        <f>IF($D$12=0,1,1-_xlfn.BINOM.DIST($D$12-1,$B$12,_xlfn.NORM.S.DIST((_xlfn.NORM.S.INV($C$12)-SQRT($D$3)*$A151)/SQRT(1-$D$3),TRUE),TRUE))</f>
        <v/>
      </c>
      <c r="I151">
        <f>IF($D$13=0,1,1-_xlfn.BINOM.DIST($D$13-1,$B$13,_xlfn.NORM.S.DIST((_xlfn.NORM.S.INV($C$13)-SQRT($D$3)*$A151)/SQRT(1-$D$3),TRUE),TRUE))</f>
        <v/>
      </c>
      <c r="J151">
        <f>IF($D$14=0,1,1-_xlfn.BINOM.DIST($D$14-1,$B$14,_xlfn.NORM.S.DIST((_xlfn.NORM.S.INV($C$14)-SQRT($D$3)*$A151)/SQRT(1-$D$3),TRUE),TRUE))</f>
        <v/>
      </c>
    </row>
    <row r="152">
      <c r="A152" t="n">
        <v>5.2</v>
      </c>
      <c r="B152">
        <f>1.0*0.1*EXP(-(A152^2)/2)/SQRT(2*PI())</f>
        <v/>
      </c>
      <c r="C152">
        <f>IF($D$7=0,1,1-_xlfn.BINOM.DIST($D$7-1,$B$7,_xlfn.NORM.S.DIST((_xlfn.NORM.S.INV($C$7)-SQRT($D$3)*$A152)/SQRT(1-$D$3),TRUE),TRUE))</f>
        <v/>
      </c>
      <c r="D152">
        <f>IF($D$8=0,1,1-_xlfn.BINOM.DIST($D$8-1,$B$8,_xlfn.NORM.S.DIST((_xlfn.NORM.S.INV($C$8)-SQRT($D$3)*$A152)/SQRT(1-$D$3),TRUE),TRUE))</f>
        <v/>
      </c>
      <c r="E152">
        <f>IF($D$9=0,1,1-_xlfn.BINOM.DIST($D$9-1,$B$9,_xlfn.NORM.S.DIST((_xlfn.NORM.S.INV($C$9)-SQRT($D$3)*$A152)/SQRT(1-$D$3),TRUE),TRUE))</f>
        <v/>
      </c>
      <c r="F152">
        <f>IF($D$10=0,1,1-_xlfn.BINOM.DIST($D$10-1,$B$10,_xlfn.NORM.S.DIST((_xlfn.NORM.S.INV($C$10)-SQRT($D$3)*$A152)/SQRT(1-$D$3),TRUE),TRUE))</f>
        <v/>
      </c>
      <c r="G152">
        <f>IF($D$11=0,1,1-_xlfn.BINOM.DIST($D$11-1,$B$11,_xlfn.NORM.S.DIST((_xlfn.NORM.S.INV($C$11)-SQRT($D$3)*$A152)/SQRT(1-$D$3),TRUE),TRUE))</f>
        <v/>
      </c>
      <c r="H152">
        <f>IF($D$12=0,1,1-_xlfn.BINOM.DIST($D$12-1,$B$12,_xlfn.NORM.S.DIST((_xlfn.NORM.S.INV($C$12)-SQRT($D$3)*$A152)/SQRT(1-$D$3),TRUE),TRUE))</f>
        <v/>
      </c>
      <c r="I152">
        <f>IF($D$13=0,1,1-_xlfn.BINOM.DIST($D$13-1,$B$13,_xlfn.NORM.S.DIST((_xlfn.NORM.S.INV($C$13)-SQRT($D$3)*$A152)/SQRT(1-$D$3),TRUE),TRUE))</f>
        <v/>
      </c>
      <c r="J152">
        <f>IF($D$14=0,1,1-_xlfn.BINOM.DIST($D$14-1,$B$14,_xlfn.NORM.S.DIST((_xlfn.NORM.S.INV($C$14)-SQRT($D$3)*$A152)/SQRT(1-$D$3),TRUE),TRUE))</f>
        <v/>
      </c>
    </row>
    <row r="153">
      <c r="A153" t="n">
        <v>5.3</v>
      </c>
      <c r="B153">
        <f>1.0*0.1*EXP(-(A153^2)/2)/SQRT(2*PI())</f>
        <v/>
      </c>
      <c r="C153">
        <f>IF($D$7=0,1,1-_xlfn.BINOM.DIST($D$7-1,$B$7,_xlfn.NORM.S.DIST((_xlfn.NORM.S.INV($C$7)-SQRT($D$3)*$A153)/SQRT(1-$D$3),TRUE),TRUE))</f>
        <v/>
      </c>
      <c r="D153">
        <f>IF($D$8=0,1,1-_xlfn.BINOM.DIST($D$8-1,$B$8,_xlfn.NORM.S.DIST((_xlfn.NORM.S.INV($C$8)-SQRT($D$3)*$A153)/SQRT(1-$D$3),TRUE),TRUE))</f>
        <v/>
      </c>
      <c r="E153">
        <f>IF($D$9=0,1,1-_xlfn.BINOM.DIST($D$9-1,$B$9,_xlfn.NORM.S.DIST((_xlfn.NORM.S.INV($C$9)-SQRT($D$3)*$A153)/SQRT(1-$D$3),TRUE),TRUE))</f>
        <v/>
      </c>
      <c r="F153">
        <f>IF($D$10=0,1,1-_xlfn.BINOM.DIST($D$10-1,$B$10,_xlfn.NORM.S.DIST((_xlfn.NORM.S.INV($C$10)-SQRT($D$3)*$A153)/SQRT(1-$D$3),TRUE),TRUE))</f>
        <v/>
      </c>
      <c r="G153">
        <f>IF($D$11=0,1,1-_xlfn.BINOM.DIST($D$11-1,$B$11,_xlfn.NORM.S.DIST((_xlfn.NORM.S.INV($C$11)-SQRT($D$3)*$A153)/SQRT(1-$D$3),TRUE),TRUE))</f>
        <v/>
      </c>
      <c r="H153">
        <f>IF($D$12=0,1,1-_xlfn.BINOM.DIST($D$12-1,$B$12,_xlfn.NORM.S.DIST((_xlfn.NORM.S.INV($C$12)-SQRT($D$3)*$A153)/SQRT(1-$D$3),TRUE),TRUE))</f>
        <v/>
      </c>
      <c r="I153">
        <f>IF($D$13=0,1,1-_xlfn.BINOM.DIST($D$13-1,$B$13,_xlfn.NORM.S.DIST((_xlfn.NORM.S.INV($C$13)-SQRT($D$3)*$A153)/SQRT(1-$D$3),TRUE),TRUE))</f>
        <v/>
      </c>
      <c r="J153">
        <f>IF($D$14=0,1,1-_xlfn.BINOM.DIST($D$14-1,$B$14,_xlfn.NORM.S.DIST((_xlfn.NORM.S.INV($C$14)-SQRT($D$3)*$A153)/SQRT(1-$D$3),TRUE),TRUE))</f>
        <v/>
      </c>
    </row>
    <row r="154">
      <c r="A154" t="n">
        <v>5.4</v>
      </c>
      <c r="B154">
        <f>1.0*0.1*EXP(-(A154^2)/2)/SQRT(2*PI())</f>
        <v/>
      </c>
      <c r="C154">
        <f>IF($D$7=0,1,1-_xlfn.BINOM.DIST($D$7-1,$B$7,_xlfn.NORM.S.DIST((_xlfn.NORM.S.INV($C$7)-SQRT($D$3)*$A154)/SQRT(1-$D$3),TRUE),TRUE))</f>
        <v/>
      </c>
      <c r="D154">
        <f>IF($D$8=0,1,1-_xlfn.BINOM.DIST($D$8-1,$B$8,_xlfn.NORM.S.DIST((_xlfn.NORM.S.INV($C$8)-SQRT($D$3)*$A154)/SQRT(1-$D$3),TRUE),TRUE))</f>
        <v/>
      </c>
      <c r="E154">
        <f>IF($D$9=0,1,1-_xlfn.BINOM.DIST($D$9-1,$B$9,_xlfn.NORM.S.DIST((_xlfn.NORM.S.INV($C$9)-SQRT($D$3)*$A154)/SQRT(1-$D$3),TRUE),TRUE))</f>
        <v/>
      </c>
      <c r="F154">
        <f>IF($D$10=0,1,1-_xlfn.BINOM.DIST($D$10-1,$B$10,_xlfn.NORM.S.DIST((_xlfn.NORM.S.INV($C$10)-SQRT($D$3)*$A154)/SQRT(1-$D$3),TRUE),TRUE))</f>
        <v/>
      </c>
      <c r="G154">
        <f>IF($D$11=0,1,1-_xlfn.BINOM.DIST($D$11-1,$B$11,_xlfn.NORM.S.DIST((_xlfn.NORM.S.INV($C$11)-SQRT($D$3)*$A154)/SQRT(1-$D$3),TRUE),TRUE))</f>
        <v/>
      </c>
      <c r="H154">
        <f>IF($D$12=0,1,1-_xlfn.BINOM.DIST($D$12-1,$B$12,_xlfn.NORM.S.DIST((_xlfn.NORM.S.INV($C$12)-SQRT($D$3)*$A154)/SQRT(1-$D$3),TRUE),TRUE))</f>
        <v/>
      </c>
      <c r="I154">
        <f>IF($D$13=0,1,1-_xlfn.BINOM.DIST($D$13-1,$B$13,_xlfn.NORM.S.DIST((_xlfn.NORM.S.INV($C$13)-SQRT($D$3)*$A154)/SQRT(1-$D$3),TRUE),TRUE))</f>
        <v/>
      </c>
      <c r="J154">
        <f>IF($D$14=0,1,1-_xlfn.BINOM.DIST($D$14-1,$B$14,_xlfn.NORM.S.DIST((_xlfn.NORM.S.INV($C$14)-SQRT($D$3)*$A154)/SQRT(1-$D$3),TRUE),TRUE))</f>
        <v/>
      </c>
    </row>
    <row r="155">
      <c r="A155" t="n">
        <v>5.5</v>
      </c>
      <c r="B155">
        <f>1.0*0.1*EXP(-(A155^2)/2)/SQRT(2*PI())</f>
        <v/>
      </c>
      <c r="C155">
        <f>IF($D$7=0,1,1-_xlfn.BINOM.DIST($D$7-1,$B$7,_xlfn.NORM.S.DIST((_xlfn.NORM.S.INV($C$7)-SQRT($D$3)*$A155)/SQRT(1-$D$3),TRUE),TRUE))</f>
        <v/>
      </c>
      <c r="D155">
        <f>IF($D$8=0,1,1-_xlfn.BINOM.DIST($D$8-1,$B$8,_xlfn.NORM.S.DIST((_xlfn.NORM.S.INV($C$8)-SQRT($D$3)*$A155)/SQRT(1-$D$3),TRUE),TRUE))</f>
        <v/>
      </c>
      <c r="E155">
        <f>IF($D$9=0,1,1-_xlfn.BINOM.DIST($D$9-1,$B$9,_xlfn.NORM.S.DIST((_xlfn.NORM.S.INV($C$9)-SQRT($D$3)*$A155)/SQRT(1-$D$3),TRUE),TRUE))</f>
        <v/>
      </c>
      <c r="F155">
        <f>IF($D$10=0,1,1-_xlfn.BINOM.DIST($D$10-1,$B$10,_xlfn.NORM.S.DIST((_xlfn.NORM.S.INV($C$10)-SQRT($D$3)*$A155)/SQRT(1-$D$3),TRUE),TRUE))</f>
        <v/>
      </c>
      <c r="G155">
        <f>IF($D$11=0,1,1-_xlfn.BINOM.DIST($D$11-1,$B$11,_xlfn.NORM.S.DIST((_xlfn.NORM.S.INV($C$11)-SQRT($D$3)*$A155)/SQRT(1-$D$3),TRUE),TRUE))</f>
        <v/>
      </c>
      <c r="H155">
        <f>IF($D$12=0,1,1-_xlfn.BINOM.DIST($D$12-1,$B$12,_xlfn.NORM.S.DIST((_xlfn.NORM.S.INV($C$12)-SQRT($D$3)*$A155)/SQRT(1-$D$3),TRUE),TRUE))</f>
        <v/>
      </c>
      <c r="I155">
        <f>IF($D$13=0,1,1-_xlfn.BINOM.DIST($D$13-1,$B$13,_xlfn.NORM.S.DIST((_xlfn.NORM.S.INV($C$13)-SQRT($D$3)*$A155)/SQRT(1-$D$3),TRUE),TRUE))</f>
        <v/>
      </c>
      <c r="J155">
        <f>IF($D$14=0,1,1-_xlfn.BINOM.DIST($D$14-1,$B$14,_xlfn.NORM.S.DIST((_xlfn.NORM.S.INV($C$14)-SQRT($D$3)*$A155)/SQRT(1-$D$3),TRUE),TRUE))</f>
        <v/>
      </c>
    </row>
    <row r="156">
      <c r="A156" t="n">
        <v>5.6</v>
      </c>
      <c r="B156">
        <f>1.0*0.1*EXP(-(A156^2)/2)/SQRT(2*PI())</f>
        <v/>
      </c>
      <c r="C156">
        <f>IF($D$7=0,1,1-_xlfn.BINOM.DIST($D$7-1,$B$7,_xlfn.NORM.S.DIST((_xlfn.NORM.S.INV($C$7)-SQRT($D$3)*$A156)/SQRT(1-$D$3),TRUE),TRUE))</f>
        <v/>
      </c>
      <c r="D156">
        <f>IF($D$8=0,1,1-_xlfn.BINOM.DIST($D$8-1,$B$8,_xlfn.NORM.S.DIST((_xlfn.NORM.S.INV($C$8)-SQRT($D$3)*$A156)/SQRT(1-$D$3),TRUE),TRUE))</f>
        <v/>
      </c>
      <c r="E156">
        <f>IF($D$9=0,1,1-_xlfn.BINOM.DIST($D$9-1,$B$9,_xlfn.NORM.S.DIST((_xlfn.NORM.S.INV($C$9)-SQRT($D$3)*$A156)/SQRT(1-$D$3),TRUE),TRUE))</f>
        <v/>
      </c>
      <c r="F156">
        <f>IF($D$10=0,1,1-_xlfn.BINOM.DIST($D$10-1,$B$10,_xlfn.NORM.S.DIST((_xlfn.NORM.S.INV($C$10)-SQRT($D$3)*$A156)/SQRT(1-$D$3),TRUE),TRUE))</f>
        <v/>
      </c>
      <c r="G156">
        <f>IF($D$11=0,1,1-_xlfn.BINOM.DIST($D$11-1,$B$11,_xlfn.NORM.S.DIST((_xlfn.NORM.S.INV($C$11)-SQRT($D$3)*$A156)/SQRT(1-$D$3),TRUE),TRUE))</f>
        <v/>
      </c>
      <c r="H156">
        <f>IF($D$12=0,1,1-_xlfn.BINOM.DIST($D$12-1,$B$12,_xlfn.NORM.S.DIST((_xlfn.NORM.S.INV($C$12)-SQRT($D$3)*$A156)/SQRT(1-$D$3),TRUE),TRUE))</f>
        <v/>
      </c>
      <c r="I156">
        <f>IF($D$13=0,1,1-_xlfn.BINOM.DIST($D$13-1,$B$13,_xlfn.NORM.S.DIST((_xlfn.NORM.S.INV($C$13)-SQRT($D$3)*$A156)/SQRT(1-$D$3),TRUE),TRUE))</f>
        <v/>
      </c>
      <c r="J156">
        <f>IF($D$14=0,1,1-_xlfn.BINOM.DIST($D$14-1,$B$14,_xlfn.NORM.S.DIST((_xlfn.NORM.S.INV($C$14)-SQRT($D$3)*$A156)/SQRT(1-$D$3),TRUE),TRUE))</f>
        <v/>
      </c>
    </row>
    <row r="157">
      <c r="A157" t="n">
        <v>5.7</v>
      </c>
      <c r="B157">
        <f>1.0*0.1*EXP(-(A157^2)/2)/SQRT(2*PI())</f>
        <v/>
      </c>
      <c r="C157">
        <f>IF($D$7=0,1,1-_xlfn.BINOM.DIST($D$7-1,$B$7,_xlfn.NORM.S.DIST((_xlfn.NORM.S.INV($C$7)-SQRT($D$3)*$A157)/SQRT(1-$D$3),TRUE),TRUE))</f>
        <v/>
      </c>
      <c r="D157">
        <f>IF($D$8=0,1,1-_xlfn.BINOM.DIST($D$8-1,$B$8,_xlfn.NORM.S.DIST((_xlfn.NORM.S.INV($C$8)-SQRT($D$3)*$A157)/SQRT(1-$D$3),TRUE),TRUE))</f>
        <v/>
      </c>
      <c r="E157">
        <f>IF($D$9=0,1,1-_xlfn.BINOM.DIST($D$9-1,$B$9,_xlfn.NORM.S.DIST((_xlfn.NORM.S.INV($C$9)-SQRT($D$3)*$A157)/SQRT(1-$D$3),TRUE),TRUE))</f>
        <v/>
      </c>
      <c r="F157">
        <f>IF($D$10=0,1,1-_xlfn.BINOM.DIST($D$10-1,$B$10,_xlfn.NORM.S.DIST((_xlfn.NORM.S.INV($C$10)-SQRT($D$3)*$A157)/SQRT(1-$D$3),TRUE),TRUE))</f>
        <v/>
      </c>
      <c r="G157">
        <f>IF($D$11=0,1,1-_xlfn.BINOM.DIST($D$11-1,$B$11,_xlfn.NORM.S.DIST((_xlfn.NORM.S.INV($C$11)-SQRT($D$3)*$A157)/SQRT(1-$D$3),TRUE),TRUE))</f>
        <v/>
      </c>
      <c r="H157">
        <f>IF($D$12=0,1,1-_xlfn.BINOM.DIST($D$12-1,$B$12,_xlfn.NORM.S.DIST((_xlfn.NORM.S.INV($C$12)-SQRT($D$3)*$A157)/SQRT(1-$D$3),TRUE),TRUE))</f>
        <v/>
      </c>
      <c r="I157">
        <f>IF($D$13=0,1,1-_xlfn.BINOM.DIST($D$13-1,$B$13,_xlfn.NORM.S.DIST((_xlfn.NORM.S.INV($C$13)-SQRT($D$3)*$A157)/SQRT(1-$D$3),TRUE),TRUE))</f>
        <v/>
      </c>
      <c r="J157">
        <f>IF($D$14=0,1,1-_xlfn.BINOM.DIST($D$14-1,$B$14,_xlfn.NORM.S.DIST((_xlfn.NORM.S.INV($C$14)-SQRT($D$3)*$A157)/SQRT(1-$D$3),TRUE),TRUE))</f>
        <v/>
      </c>
    </row>
    <row r="158">
      <c r="A158" t="n">
        <v>5.8</v>
      </c>
      <c r="B158">
        <f>1.0*0.1*EXP(-(A158^2)/2)/SQRT(2*PI())</f>
        <v/>
      </c>
      <c r="C158">
        <f>IF($D$7=0,1,1-_xlfn.BINOM.DIST($D$7-1,$B$7,_xlfn.NORM.S.DIST((_xlfn.NORM.S.INV($C$7)-SQRT($D$3)*$A158)/SQRT(1-$D$3),TRUE),TRUE))</f>
        <v/>
      </c>
      <c r="D158">
        <f>IF($D$8=0,1,1-_xlfn.BINOM.DIST($D$8-1,$B$8,_xlfn.NORM.S.DIST((_xlfn.NORM.S.INV($C$8)-SQRT($D$3)*$A158)/SQRT(1-$D$3),TRUE),TRUE))</f>
        <v/>
      </c>
      <c r="E158">
        <f>IF($D$9=0,1,1-_xlfn.BINOM.DIST($D$9-1,$B$9,_xlfn.NORM.S.DIST((_xlfn.NORM.S.INV($C$9)-SQRT($D$3)*$A158)/SQRT(1-$D$3),TRUE),TRUE))</f>
        <v/>
      </c>
      <c r="F158">
        <f>IF($D$10=0,1,1-_xlfn.BINOM.DIST($D$10-1,$B$10,_xlfn.NORM.S.DIST((_xlfn.NORM.S.INV($C$10)-SQRT($D$3)*$A158)/SQRT(1-$D$3),TRUE),TRUE))</f>
        <v/>
      </c>
      <c r="G158">
        <f>IF($D$11=0,1,1-_xlfn.BINOM.DIST($D$11-1,$B$11,_xlfn.NORM.S.DIST((_xlfn.NORM.S.INV($C$11)-SQRT($D$3)*$A158)/SQRT(1-$D$3),TRUE),TRUE))</f>
        <v/>
      </c>
      <c r="H158">
        <f>IF($D$12=0,1,1-_xlfn.BINOM.DIST($D$12-1,$B$12,_xlfn.NORM.S.DIST((_xlfn.NORM.S.INV($C$12)-SQRT($D$3)*$A158)/SQRT(1-$D$3),TRUE),TRUE))</f>
        <v/>
      </c>
      <c r="I158">
        <f>IF($D$13=0,1,1-_xlfn.BINOM.DIST($D$13-1,$B$13,_xlfn.NORM.S.DIST((_xlfn.NORM.S.INV($C$13)-SQRT($D$3)*$A158)/SQRT(1-$D$3),TRUE),TRUE))</f>
        <v/>
      </c>
      <c r="J158">
        <f>IF($D$14=0,1,1-_xlfn.BINOM.DIST($D$14-1,$B$14,_xlfn.NORM.S.DIST((_xlfn.NORM.S.INV($C$14)-SQRT($D$3)*$A158)/SQRT(1-$D$3),TRUE),TRUE))</f>
        <v/>
      </c>
    </row>
    <row r="159">
      <c r="A159" t="n">
        <v>5.9</v>
      </c>
      <c r="B159">
        <f>1.0*0.1*EXP(-(A159^2)/2)/SQRT(2*PI())</f>
        <v/>
      </c>
      <c r="C159">
        <f>IF($D$7=0,1,1-_xlfn.BINOM.DIST($D$7-1,$B$7,_xlfn.NORM.S.DIST((_xlfn.NORM.S.INV($C$7)-SQRT($D$3)*$A159)/SQRT(1-$D$3),TRUE),TRUE))</f>
        <v/>
      </c>
      <c r="D159">
        <f>IF($D$8=0,1,1-_xlfn.BINOM.DIST($D$8-1,$B$8,_xlfn.NORM.S.DIST((_xlfn.NORM.S.INV($C$8)-SQRT($D$3)*$A159)/SQRT(1-$D$3),TRUE),TRUE))</f>
        <v/>
      </c>
      <c r="E159">
        <f>IF($D$9=0,1,1-_xlfn.BINOM.DIST($D$9-1,$B$9,_xlfn.NORM.S.DIST((_xlfn.NORM.S.INV($C$9)-SQRT($D$3)*$A159)/SQRT(1-$D$3),TRUE),TRUE))</f>
        <v/>
      </c>
      <c r="F159">
        <f>IF($D$10=0,1,1-_xlfn.BINOM.DIST($D$10-1,$B$10,_xlfn.NORM.S.DIST((_xlfn.NORM.S.INV($C$10)-SQRT($D$3)*$A159)/SQRT(1-$D$3),TRUE),TRUE))</f>
        <v/>
      </c>
      <c r="G159">
        <f>IF($D$11=0,1,1-_xlfn.BINOM.DIST($D$11-1,$B$11,_xlfn.NORM.S.DIST((_xlfn.NORM.S.INV($C$11)-SQRT($D$3)*$A159)/SQRT(1-$D$3),TRUE),TRUE))</f>
        <v/>
      </c>
      <c r="H159">
        <f>IF($D$12=0,1,1-_xlfn.BINOM.DIST($D$12-1,$B$12,_xlfn.NORM.S.DIST((_xlfn.NORM.S.INV($C$12)-SQRT($D$3)*$A159)/SQRT(1-$D$3),TRUE),TRUE))</f>
        <v/>
      </c>
      <c r="I159">
        <f>IF($D$13=0,1,1-_xlfn.BINOM.DIST($D$13-1,$B$13,_xlfn.NORM.S.DIST((_xlfn.NORM.S.INV($C$13)-SQRT($D$3)*$A159)/SQRT(1-$D$3),TRUE),TRUE))</f>
        <v/>
      </c>
      <c r="J159">
        <f>IF($D$14=0,1,1-_xlfn.BINOM.DIST($D$14-1,$B$14,_xlfn.NORM.S.DIST((_xlfn.NORM.S.INV($C$14)-SQRT($D$3)*$A159)/SQRT(1-$D$3),TRUE),TRUE))</f>
        <v/>
      </c>
    </row>
    <row r="160">
      <c r="A160" t="n">
        <v>6</v>
      </c>
      <c r="B160">
        <f>1.0*0.1*EXP(-(A160^2)/2)/SQRT(2*PI())</f>
        <v/>
      </c>
      <c r="C160">
        <f>IF($D$7=0,1,1-_xlfn.BINOM.DIST($D$7-1,$B$7,_xlfn.NORM.S.DIST((_xlfn.NORM.S.INV($C$7)-SQRT($D$3)*$A160)/SQRT(1-$D$3),TRUE),TRUE))</f>
        <v/>
      </c>
      <c r="D160">
        <f>IF($D$8=0,1,1-_xlfn.BINOM.DIST($D$8-1,$B$8,_xlfn.NORM.S.DIST((_xlfn.NORM.S.INV($C$8)-SQRT($D$3)*$A160)/SQRT(1-$D$3),TRUE),TRUE))</f>
        <v/>
      </c>
      <c r="E160">
        <f>IF($D$9=0,1,1-_xlfn.BINOM.DIST($D$9-1,$B$9,_xlfn.NORM.S.DIST((_xlfn.NORM.S.INV($C$9)-SQRT($D$3)*$A160)/SQRT(1-$D$3),TRUE),TRUE))</f>
        <v/>
      </c>
      <c r="F160">
        <f>IF($D$10=0,1,1-_xlfn.BINOM.DIST($D$10-1,$B$10,_xlfn.NORM.S.DIST((_xlfn.NORM.S.INV($C$10)-SQRT($D$3)*$A160)/SQRT(1-$D$3),TRUE),TRUE))</f>
        <v/>
      </c>
      <c r="G160">
        <f>IF($D$11=0,1,1-_xlfn.BINOM.DIST($D$11-1,$B$11,_xlfn.NORM.S.DIST((_xlfn.NORM.S.INV($C$11)-SQRT($D$3)*$A160)/SQRT(1-$D$3),TRUE),TRUE))</f>
        <v/>
      </c>
      <c r="H160">
        <f>IF($D$12=0,1,1-_xlfn.BINOM.DIST($D$12-1,$B$12,_xlfn.NORM.S.DIST((_xlfn.NORM.S.INV($C$12)-SQRT($D$3)*$A160)/SQRT(1-$D$3),TRUE),TRUE))</f>
        <v/>
      </c>
      <c r="I160">
        <f>IF($D$13=0,1,1-_xlfn.BINOM.DIST($D$13-1,$B$13,_xlfn.NORM.S.DIST((_xlfn.NORM.S.INV($C$13)-SQRT($D$3)*$A160)/SQRT(1-$D$3),TRUE),TRUE))</f>
        <v/>
      </c>
      <c r="J160">
        <f>IF($D$14=0,1,1-_xlfn.BINOM.DIST($D$14-1,$B$14,_xlfn.NORM.S.DIST((_xlfn.NORM.S.INV($C$14)-SQRT($D$3)*$A160)/SQRT(1-$D$3),TRUE),TRUE))</f>
        <v/>
      </c>
    </row>
    <row r="161">
      <c r="A161" t="n">
        <v>6.1</v>
      </c>
      <c r="B161">
        <f>1.0*0.1*EXP(-(A161^2)/2)/SQRT(2*PI())</f>
        <v/>
      </c>
      <c r="C161">
        <f>IF($D$7=0,1,1-_xlfn.BINOM.DIST($D$7-1,$B$7,_xlfn.NORM.S.DIST((_xlfn.NORM.S.INV($C$7)-SQRT($D$3)*$A161)/SQRT(1-$D$3),TRUE),TRUE))</f>
        <v/>
      </c>
      <c r="D161">
        <f>IF($D$8=0,1,1-_xlfn.BINOM.DIST($D$8-1,$B$8,_xlfn.NORM.S.DIST((_xlfn.NORM.S.INV($C$8)-SQRT($D$3)*$A161)/SQRT(1-$D$3),TRUE),TRUE))</f>
        <v/>
      </c>
      <c r="E161">
        <f>IF($D$9=0,1,1-_xlfn.BINOM.DIST($D$9-1,$B$9,_xlfn.NORM.S.DIST((_xlfn.NORM.S.INV($C$9)-SQRT($D$3)*$A161)/SQRT(1-$D$3),TRUE),TRUE))</f>
        <v/>
      </c>
      <c r="F161">
        <f>IF($D$10=0,1,1-_xlfn.BINOM.DIST($D$10-1,$B$10,_xlfn.NORM.S.DIST((_xlfn.NORM.S.INV($C$10)-SQRT($D$3)*$A161)/SQRT(1-$D$3),TRUE),TRUE))</f>
        <v/>
      </c>
      <c r="G161">
        <f>IF($D$11=0,1,1-_xlfn.BINOM.DIST($D$11-1,$B$11,_xlfn.NORM.S.DIST((_xlfn.NORM.S.INV($C$11)-SQRT($D$3)*$A161)/SQRT(1-$D$3),TRUE),TRUE))</f>
        <v/>
      </c>
      <c r="H161">
        <f>IF($D$12=0,1,1-_xlfn.BINOM.DIST($D$12-1,$B$12,_xlfn.NORM.S.DIST((_xlfn.NORM.S.INV($C$12)-SQRT($D$3)*$A161)/SQRT(1-$D$3),TRUE),TRUE))</f>
        <v/>
      </c>
      <c r="I161">
        <f>IF($D$13=0,1,1-_xlfn.BINOM.DIST($D$13-1,$B$13,_xlfn.NORM.S.DIST((_xlfn.NORM.S.INV($C$13)-SQRT($D$3)*$A161)/SQRT(1-$D$3),TRUE),TRUE))</f>
        <v/>
      </c>
      <c r="J161">
        <f>IF($D$14=0,1,1-_xlfn.BINOM.DIST($D$14-1,$B$14,_xlfn.NORM.S.DIST((_xlfn.NORM.S.INV($C$14)-SQRT($D$3)*$A161)/SQRT(1-$D$3),TRUE),TRUE))</f>
        <v/>
      </c>
    </row>
    <row r="162">
      <c r="A162" t="n">
        <v>6.2</v>
      </c>
      <c r="B162">
        <f>1.0*0.1*EXP(-(A162^2)/2)/SQRT(2*PI())</f>
        <v/>
      </c>
      <c r="C162">
        <f>IF($D$7=0,1,1-_xlfn.BINOM.DIST($D$7-1,$B$7,_xlfn.NORM.S.DIST((_xlfn.NORM.S.INV($C$7)-SQRT($D$3)*$A162)/SQRT(1-$D$3),TRUE),TRUE))</f>
        <v/>
      </c>
      <c r="D162">
        <f>IF($D$8=0,1,1-_xlfn.BINOM.DIST($D$8-1,$B$8,_xlfn.NORM.S.DIST((_xlfn.NORM.S.INV($C$8)-SQRT($D$3)*$A162)/SQRT(1-$D$3),TRUE),TRUE))</f>
        <v/>
      </c>
      <c r="E162">
        <f>IF($D$9=0,1,1-_xlfn.BINOM.DIST($D$9-1,$B$9,_xlfn.NORM.S.DIST((_xlfn.NORM.S.INV($C$9)-SQRT($D$3)*$A162)/SQRT(1-$D$3),TRUE),TRUE))</f>
        <v/>
      </c>
      <c r="F162">
        <f>IF($D$10=0,1,1-_xlfn.BINOM.DIST($D$10-1,$B$10,_xlfn.NORM.S.DIST((_xlfn.NORM.S.INV($C$10)-SQRT($D$3)*$A162)/SQRT(1-$D$3),TRUE),TRUE))</f>
        <v/>
      </c>
      <c r="G162">
        <f>IF($D$11=0,1,1-_xlfn.BINOM.DIST($D$11-1,$B$11,_xlfn.NORM.S.DIST((_xlfn.NORM.S.INV($C$11)-SQRT($D$3)*$A162)/SQRT(1-$D$3),TRUE),TRUE))</f>
        <v/>
      </c>
      <c r="H162">
        <f>IF($D$12=0,1,1-_xlfn.BINOM.DIST($D$12-1,$B$12,_xlfn.NORM.S.DIST((_xlfn.NORM.S.INV($C$12)-SQRT($D$3)*$A162)/SQRT(1-$D$3),TRUE),TRUE))</f>
        <v/>
      </c>
      <c r="I162">
        <f>IF($D$13=0,1,1-_xlfn.BINOM.DIST($D$13-1,$B$13,_xlfn.NORM.S.DIST((_xlfn.NORM.S.INV($C$13)-SQRT($D$3)*$A162)/SQRT(1-$D$3),TRUE),TRUE))</f>
        <v/>
      </c>
      <c r="J162">
        <f>IF($D$14=0,1,1-_xlfn.BINOM.DIST($D$14-1,$B$14,_xlfn.NORM.S.DIST((_xlfn.NORM.S.INV($C$14)-SQRT($D$3)*$A162)/SQRT(1-$D$3),TRUE),TRUE))</f>
        <v/>
      </c>
    </row>
    <row r="163">
      <c r="A163" t="n">
        <v>6.3</v>
      </c>
      <c r="B163">
        <f>1.0*0.1*EXP(-(A163^2)/2)/SQRT(2*PI())</f>
        <v/>
      </c>
      <c r="C163">
        <f>IF($D$7=0,1,1-_xlfn.BINOM.DIST($D$7-1,$B$7,_xlfn.NORM.S.DIST((_xlfn.NORM.S.INV($C$7)-SQRT($D$3)*$A163)/SQRT(1-$D$3),TRUE),TRUE))</f>
        <v/>
      </c>
      <c r="D163">
        <f>IF($D$8=0,1,1-_xlfn.BINOM.DIST($D$8-1,$B$8,_xlfn.NORM.S.DIST((_xlfn.NORM.S.INV($C$8)-SQRT($D$3)*$A163)/SQRT(1-$D$3),TRUE),TRUE))</f>
        <v/>
      </c>
      <c r="E163">
        <f>IF($D$9=0,1,1-_xlfn.BINOM.DIST($D$9-1,$B$9,_xlfn.NORM.S.DIST((_xlfn.NORM.S.INV($C$9)-SQRT($D$3)*$A163)/SQRT(1-$D$3),TRUE),TRUE))</f>
        <v/>
      </c>
      <c r="F163">
        <f>IF($D$10=0,1,1-_xlfn.BINOM.DIST($D$10-1,$B$10,_xlfn.NORM.S.DIST((_xlfn.NORM.S.INV($C$10)-SQRT($D$3)*$A163)/SQRT(1-$D$3),TRUE),TRUE))</f>
        <v/>
      </c>
      <c r="G163">
        <f>IF($D$11=0,1,1-_xlfn.BINOM.DIST($D$11-1,$B$11,_xlfn.NORM.S.DIST((_xlfn.NORM.S.INV($C$11)-SQRT($D$3)*$A163)/SQRT(1-$D$3),TRUE),TRUE))</f>
        <v/>
      </c>
      <c r="H163">
        <f>IF($D$12=0,1,1-_xlfn.BINOM.DIST($D$12-1,$B$12,_xlfn.NORM.S.DIST((_xlfn.NORM.S.INV($C$12)-SQRT($D$3)*$A163)/SQRT(1-$D$3),TRUE),TRUE))</f>
        <v/>
      </c>
      <c r="I163">
        <f>IF($D$13=0,1,1-_xlfn.BINOM.DIST($D$13-1,$B$13,_xlfn.NORM.S.DIST((_xlfn.NORM.S.INV($C$13)-SQRT($D$3)*$A163)/SQRT(1-$D$3),TRUE),TRUE))</f>
        <v/>
      </c>
      <c r="J163">
        <f>IF($D$14=0,1,1-_xlfn.BINOM.DIST($D$14-1,$B$14,_xlfn.NORM.S.DIST((_xlfn.NORM.S.INV($C$14)-SQRT($D$3)*$A163)/SQRT(1-$D$3),TRUE),TRUE))</f>
        <v/>
      </c>
    </row>
    <row r="164">
      <c r="A164" t="n">
        <v>6.4</v>
      </c>
      <c r="B164">
        <f>1.0*0.1*EXP(-(A164^2)/2)/SQRT(2*PI())</f>
        <v/>
      </c>
      <c r="C164">
        <f>IF($D$7=0,1,1-_xlfn.BINOM.DIST($D$7-1,$B$7,_xlfn.NORM.S.DIST((_xlfn.NORM.S.INV($C$7)-SQRT($D$3)*$A164)/SQRT(1-$D$3),TRUE),TRUE))</f>
        <v/>
      </c>
      <c r="D164">
        <f>IF($D$8=0,1,1-_xlfn.BINOM.DIST($D$8-1,$B$8,_xlfn.NORM.S.DIST((_xlfn.NORM.S.INV($C$8)-SQRT($D$3)*$A164)/SQRT(1-$D$3),TRUE),TRUE))</f>
        <v/>
      </c>
      <c r="E164">
        <f>IF($D$9=0,1,1-_xlfn.BINOM.DIST($D$9-1,$B$9,_xlfn.NORM.S.DIST((_xlfn.NORM.S.INV($C$9)-SQRT($D$3)*$A164)/SQRT(1-$D$3),TRUE),TRUE))</f>
        <v/>
      </c>
      <c r="F164">
        <f>IF($D$10=0,1,1-_xlfn.BINOM.DIST($D$10-1,$B$10,_xlfn.NORM.S.DIST((_xlfn.NORM.S.INV($C$10)-SQRT($D$3)*$A164)/SQRT(1-$D$3),TRUE),TRUE))</f>
        <v/>
      </c>
      <c r="G164">
        <f>IF($D$11=0,1,1-_xlfn.BINOM.DIST($D$11-1,$B$11,_xlfn.NORM.S.DIST((_xlfn.NORM.S.INV($C$11)-SQRT($D$3)*$A164)/SQRT(1-$D$3),TRUE),TRUE))</f>
        <v/>
      </c>
      <c r="H164">
        <f>IF($D$12=0,1,1-_xlfn.BINOM.DIST($D$12-1,$B$12,_xlfn.NORM.S.DIST((_xlfn.NORM.S.INV($C$12)-SQRT($D$3)*$A164)/SQRT(1-$D$3),TRUE),TRUE))</f>
        <v/>
      </c>
      <c r="I164">
        <f>IF($D$13=0,1,1-_xlfn.BINOM.DIST($D$13-1,$B$13,_xlfn.NORM.S.DIST((_xlfn.NORM.S.INV($C$13)-SQRT($D$3)*$A164)/SQRT(1-$D$3),TRUE),TRUE))</f>
        <v/>
      </c>
      <c r="J164">
        <f>IF($D$14=0,1,1-_xlfn.BINOM.DIST($D$14-1,$B$14,_xlfn.NORM.S.DIST((_xlfn.NORM.S.INV($C$14)-SQRT($D$3)*$A164)/SQRT(1-$D$3),TRUE),TRUE))</f>
        <v/>
      </c>
    </row>
    <row r="165">
      <c r="A165" t="n">
        <v>6.5</v>
      </c>
      <c r="B165">
        <f>1.0*0.1*EXP(-(A165^2)/2)/SQRT(2*PI())</f>
        <v/>
      </c>
      <c r="C165">
        <f>IF($D$7=0,1,1-_xlfn.BINOM.DIST($D$7-1,$B$7,_xlfn.NORM.S.DIST((_xlfn.NORM.S.INV($C$7)-SQRT($D$3)*$A165)/SQRT(1-$D$3),TRUE),TRUE))</f>
        <v/>
      </c>
      <c r="D165">
        <f>IF($D$8=0,1,1-_xlfn.BINOM.DIST($D$8-1,$B$8,_xlfn.NORM.S.DIST((_xlfn.NORM.S.INV($C$8)-SQRT($D$3)*$A165)/SQRT(1-$D$3),TRUE),TRUE))</f>
        <v/>
      </c>
      <c r="E165">
        <f>IF($D$9=0,1,1-_xlfn.BINOM.DIST($D$9-1,$B$9,_xlfn.NORM.S.DIST((_xlfn.NORM.S.INV($C$9)-SQRT($D$3)*$A165)/SQRT(1-$D$3),TRUE),TRUE))</f>
        <v/>
      </c>
      <c r="F165">
        <f>IF($D$10=0,1,1-_xlfn.BINOM.DIST($D$10-1,$B$10,_xlfn.NORM.S.DIST((_xlfn.NORM.S.INV($C$10)-SQRT($D$3)*$A165)/SQRT(1-$D$3),TRUE),TRUE))</f>
        <v/>
      </c>
      <c r="G165">
        <f>IF($D$11=0,1,1-_xlfn.BINOM.DIST($D$11-1,$B$11,_xlfn.NORM.S.DIST((_xlfn.NORM.S.INV($C$11)-SQRT($D$3)*$A165)/SQRT(1-$D$3),TRUE),TRUE))</f>
        <v/>
      </c>
      <c r="H165">
        <f>IF($D$12=0,1,1-_xlfn.BINOM.DIST($D$12-1,$B$12,_xlfn.NORM.S.DIST((_xlfn.NORM.S.INV($C$12)-SQRT($D$3)*$A165)/SQRT(1-$D$3),TRUE),TRUE))</f>
        <v/>
      </c>
      <c r="I165">
        <f>IF($D$13=0,1,1-_xlfn.BINOM.DIST($D$13-1,$B$13,_xlfn.NORM.S.DIST((_xlfn.NORM.S.INV($C$13)-SQRT($D$3)*$A165)/SQRT(1-$D$3),TRUE),TRUE))</f>
        <v/>
      </c>
      <c r="J165">
        <f>IF($D$14=0,1,1-_xlfn.BINOM.DIST($D$14-1,$B$14,_xlfn.NORM.S.DIST((_xlfn.NORM.S.INV($C$14)-SQRT($D$3)*$A165)/SQRT(1-$D$3),TRUE),TRUE))</f>
        <v/>
      </c>
    </row>
    <row r="166">
      <c r="A166" t="n">
        <v>6.6</v>
      </c>
      <c r="B166">
        <f>1.0*0.1*EXP(-(A166^2)/2)/SQRT(2*PI())</f>
        <v/>
      </c>
      <c r="C166">
        <f>IF($D$7=0,1,1-_xlfn.BINOM.DIST($D$7-1,$B$7,_xlfn.NORM.S.DIST((_xlfn.NORM.S.INV($C$7)-SQRT($D$3)*$A166)/SQRT(1-$D$3),TRUE),TRUE))</f>
        <v/>
      </c>
      <c r="D166">
        <f>IF($D$8=0,1,1-_xlfn.BINOM.DIST($D$8-1,$B$8,_xlfn.NORM.S.DIST((_xlfn.NORM.S.INV($C$8)-SQRT($D$3)*$A166)/SQRT(1-$D$3),TRUE),TRUE))</f>
        <v/>
      </c>
      <c r="E166">
        <f>IF($D$9=0,1,1-_xlfn.BINOM.DIST($D$9-1,$B$9,_xlfn.NORM.S.DIST((_xlfn.NORM.S.INV($C$9)-SQRT($D$3)*$A166)/SQRT(1-$D$3),TRUE),TRUE))</f>
        <v/>
      </c>
      <c r="F166">
        <f>IF($D$10=0,1,1-_xlfn.BINOM.DIST($D$10-1,$B$10,_xlfn.NORM.S.DIST((_xlfn.NORM.S.INV($C$10)-SQRT($D$3)*$A166)/SQRT(1-$D$3),TRUE),TRUE))</f>
        <v/>
      </c>
      <c r="G166">
        <f>IF($D$11=0,1,1-_xlfn.BINOM.DIST($D$11-1,$B$11,_xlfn.NORM.S.DIST((_xlfn.NORM.S.INV($C$11)-SQRT($D$3)*$A166)/SQRT(1-$D$3),TRUE),TRUE))</f>
        <v/>
      </c>
      <c r="H166">
        <f>IF($D$12=0,1,1-_xlfn.BINOM.DIST($D$12-1,$B$12,_xlfn.NORM.S.DIST((_xlfn.NORM.S.INV($C$12)-SQRT($D$3)*$A166)/SQRT(1-$D$3),TRUE),TRUE))</f>
        <v/>
      </c>
      <c r="I166">
        <f>IF($D$13=0,1,1-_xlfn.BINOM.DIST($D$13-1,$B$13,_xlfn.NORM.S.DIST((_xlfn.NORM.S.INV($C$13)-SQRT($D$3)*$A166)/SQRT(1-$D$3),TRUE),TRUE))</f>
        <v/>
      </c>
      <c r="J166">
        <f>IF($D$14=0,1,1-_xlfn.BINOM.DIST($D$14-1,$B$14,_xlfn.NORM.S.DIST((_xlfn.NORM.S.INV($C$14)-SQRT($D$3)*$A166)/SQRT(1-$D$3),TRUE),TRUE))</f>
        <v/>
      </c>
    </row>
    <row r="167">
      <c r="A167" t="n">
        <v>6.7</v>
      </c>
      <c r="B167">
        <f>1.0*0.1*EXP(-(A167^2)/2)/SQRT(2*PI())</f>
        <v/>
      </c>
      <c r="C167">
        <f>IF($D$7=0,1,1-_xlfn.BINOM.DIST($D$7-1,$B$7,_xlfn.NORM.S.DIST((_xlfn.NORM.S.INV($C$7)-SQRT($D$3)*$A167)/SQRT(1-$D$3),TRUE),TRUE))</f>
        <v/>
      </c>
      <c r="D167">
        <f>IF($D$8=0,1,1-_xlfn.BINOM.DIST($D$8-1,$B$8,_xlfn.NORM.S.DIST((_xlfn.NORM.S.INV($C$8)-SQRT($D$3)*$A167)/SQRT(1-$D$3),TRUE),TRUE))</f>
        <v/>
      </c>
      <c r="E167">
        <f>IF($D$9=0,1,1-_xlfn.BINOM.DIST($D$9-1,$B$9,_xlfn.NORM.S.DIST((_xlfn.NORM.S.INV($C$9)-SQRT($D$3)*$A167)/SQRT(1-$D$3),TRUE),TRUE))</f>
        <v/>
      </c>
      <c r="F167">
        <f>IF($D$10=0,1,1-_xlfn.BINOM.DIST($D$10-1,$B$10,_xlfn.NORM.S.DIST((_xlfn.NORM.S.INV($C$10)-SQRT($D$3)*$A167)/SQRT(1-$D$3),TRUE),TRUE))</f>
        <v/>
      </c>
      <c r="G167">
        <f>IF($D$11=0,1,1-_xlfn.BINOM.DIST($D$11-1,$B$11,_xlfn.NORM.S.DIST((_xlfn.NORM.S.INV($C$11)-SQRT($D$3)*$A167)/SQRT(1-$D$3),TRUE),TRUE))</f>
        <v/>
      </c>
      <c r="H167">
        <f>IF($D$12=0,1,1-_xlfn.BINOM.DIST($D$12-1,$B$12,_xlfn.NORM.S.DIST((_xlfn.NORM.S.INV($C$12)-SQRT($D$3)*$A167)/SQRT(1-$D$3),TRUE),TRUE))</f>
        <v/>
      </c>
      <c r="I167">
        <f>IF($D$13=0,1,1-_xlfn.BINOM.DIST($D$13-1,$B$13,_xlfn.NORM.S.DIST((_xlfn.NORM.S.INV($C$13)-SQRT($D$3)*$A167)/SQRT(1-$D$3),TRUE),TRUE))</f>
        <v/>
      </c>
      <c r="J167">
        <f>IF($D$14=0,1,1-_xlfn.BINOM.DIST($D$14-1,$B$14,_xlfn.NORM.S.DIST((_xlfn.NORM.S.INV($C$14)-SQRT($D$3)*$A167)/SQRT(1-$D$3),TRUE),TRUE))</f>
        <v/>
      </c>
    </row>
    <row r="168">
      <c r="A168" t="n">
        <v>6.8</v>
      </c>
      <c r="B168">
        <f>1.0*0.1*EXP(-(A168^2)/2)/SQRT(2*PI())</f>
        <v/>
      </c>
      <c r="C168">
        <f>IF($D$7=0,1,1-_xlfn.BINOM.DIST($D$7-1,$B$7,_xlfn.NORM.S.DIST((_xlfn.NORM.S.INV($C$7)-SQRT($D$3)*$A168)/SQRT(1-$D$3),TRUE),TRUE))</f>
        <v/>
      </c>
      <c r="D168">
        <f>IF($D$8=0,1,1-_xlfn.BINOM.DIST($D$8-1,$B$8,_xlfn.NORM.S.DIST((_xlfn.NORM.S.INV($C$8)-SQRT($D$3)*$A168)/SQRT(1-$D$3),TRUE),TRUE))</f>
        <v/>
      </c>
      <c r="E168">
        <f>IF($D$9=0,1,1-_xlfn.BINOM.DIST($D$9-1,$B$9,_xlfn.NORM.S.DIST((_xlfn.NORM.S.INV($C$9)-SQRT($D$3)*$A168)/SQRT(1-$D$3),TRUE),TRUE))</f>
        <v/>
      </c>
      <c r="F168">
        <f>IF($D$10=0,1,1-_xlfn.BINOM.DIST($D$10-1,$B$10,_xlfn.NORM.S.DIST((_xlfn.NORM.S.INV($C$10)-SQRT($D$3)*$A168)/SQRT(1-$D$3),TRUE),TRUE))</f>
        <v/>
      </c>
      <c r="G168">
        <f>IF($D$11=0,1,1-_xlfn.BINOM.DIST($D$11-1,$B$11,_xlfn.NORM.S.DIST((_xlfn.NORM.S.INV($C$11)-SQRT($D$3)*$A168)/SQRT(1-$D$3),TRUE),TRUE))</f>
        <v/>
      </c>
      <c r="H168">
        <f>IF($D$12=0,1,1-_xlfn.BINOM.DIST($D$12-1,$B$12,_xlfn.NORM.S.DIST((_xlfn.NORM.S.INV($C$12)-SQRT($D$3)*$A168)/SQRT(1-$D$3),TRUE),TRUE))</f>
        <v/>
      </c>
      <c r="I168">
        <f>IF($D$13=0,1,1-_xlfn.BINOM.DIST($D$13-1,$B$13,_xlfn.NORM.S.DIST((_xlfn.NORM.S.INV($C$13)-SQRT($D$3)*$A168)/SQRT(1-$D$3),TRUE),TRUE))</f>
        <v/>
      </c>
      <c r="J168">
        <f>IF($D$14=0,1,1-_xlfn.BINOM.DIST($D$14-1,$B$14,_xlfn.NORM.S.DIST((_xlfn.NORM.S.INV($C$14)-SQRT($D$3)*$A168)/SQRT(1-$D$3),TRUE),TRUE))</f>
        <v/>
      </c>
    </row>
    <row r="169">
      <c r="A169" t="n">
        <v>6.9</v>
      </c>
      <c r="B169">
        <f>1.0*0.1*EXP(-(A169^2)/2)/SQRT(2*PI())</f>
        <v/>
      </c>
      <c r="C169">
        <f>IF($D$7=0,1,1-_xlfn.BINOM.DIST($D$7-1,$B$7,_xlfn.NORM.S.DIST((_xlfn.NORM.S.INV($C$7)-SQRT($D$3)*$A169)/SQRT(1-$D$3),TRUE),TRUE))</f>
        <v/>
      </c>
      <c r="D169">
        <f>IF($D$8=0,1,1-_xlfn.BINOM.DIST($D$8-1,$B$8,_xlfn.NORM.S.DIST((_xlfn.NORM.S.INV($C$8)-SQRT($D$3)*$A169)/SQRT(1-$D$3),TRUE),TRUE))</f>
        <v/>
      </c>
      <c r="E169">
        <f>IF($D$9=0,1,1-_xlfn.BINOM.DIST($D$9-1,$B$9,_xlfn.NORM.S.DIST((_xlfn.NORM.S.INV($C$9)-SQRT($D$3)*$A169)/SQRT(1-$D$3),TRUE),TRUE))</f>
        <v/>
      </c>
      <c r="F169">
        <f>IF($D$10=0,1,1-_xlfn.BINOM.DIST($D$10-1,$B$10,_xlfn.NORM.S.DIST((_xlfn.NORM.S.INV($C$10)-SQRT($D$3)*$A169)/SQRT(1-$D$3),TRUE),TRUE))</f>
        <v/>
      </c>
      <c r="G169">
        <f>IF($D$11=0,1,1-_xlfn.BINOM.DIST($D$11-1,$B$11,_xlfn.NORM.S.DIST((_xlfn.NORM.S.INV($C$11)-SQRT($D$3)*$A169)/SQRT(1-$D$3),TRUE),TRUE))</f>
        <v/>
      </c>
      <c r="H169">
        <f>IF($D$12=0,1,1-_xlfn.BINOM.DIST($D$12-1,$B$12,_xlfn.NORM.S.DIST((_xlfn.NORM.S.INV($C$12)-SQRT($D$3)*$A169)/SQRT(1-$D$3),TRUE),TRUE))</f>
        <v/>
      </c>
      <c r="I169">
        <f>IF($D$13=0,1,1-_xlfn.BINOM.DIST($D$13-1,$B$13,_xlfn.NORM.S.DIST((_xlfn.NORM.S.INV($C$13)-SQRT($D$3)*$A169)/SQRT(1-$D$3),TRUE),TRUE))</f>
        <v/>
      </c>
      <c r="J169">
        <f>IF($D$14=0,1,1-_xlfn.BINOM.DIST($D$14-1,$B$14,_xlfn.NORM.S.DIST((_xlfn.NORM.S.INV($C$14)-SQRT($D$3)*$A169)/SQRT(1-$D$3),TRUE),TRUE))</f>
        <v/>
      </c>
    </row>
    <row r="170">
      <c r="A170" t="n">
        <v>7</v>
      </c>
      <c r="B170">
        <f>1.0*0.1*EXP(-(A170^2)/2)/SQRT(2*PI())</f>
        <v/>
      </c>
      <c r="C170">
        <f>IF($D$7=0,1,1-_xlfn.BINOM.DIST($D$7-1,$B$7,_xlfn.NORM.S.DIST((_xlfn.NORM.S.INV($C$7)-SQRT($D$3)*$A170)/SQRT(1-$D$3),TRUE),TRUE))</f>
        <v/>
      </c>
      <c r="D170">
        <f>IF($D$8=0,1,1-_xlfn.BINOM.DIST($D$8-1,$B$8,_xlfn.NORM.S.DIST((_xlfn.NORM.S.INV($C$8)-SQRT($D$3)*$A170)/SQRT(1-$D$3),TRUE),TRUE))</f>
        <v/>
      </c>
      <c r="E170">
        <f>IF($D$9=0,1,1-_xlfn.BINOM.DIST($D$9-1,$B$9,_xlfn.NORM.S.DIST((_xlfn.NORM.S.INV($C$9)-SQRT($D$3)*$A170)/SQRT(1-$D$3),TRUE),TRUE))</f>
        <v/>
      </c>
      <c r="F170">
        <f>IF($D$10=0,1,1-_xlfn.BINOM.DIST($D$10-1,$B$10,_xlfn.NORM.S.DIST((_xlfn.NORM.S.INV($C$10)-SQRT($D$3)*$A170)/SQRT(1-$D$3),TRUE),TRUE))</f>
        <v/>
      </c>
      <c r="G170">
        <f>IF($D$11=0,1,1-_xlfn.BINOM.DIST($D$11-1,$B$11,_xlfn.NORM.S.DIST((_xlfn.NORM.S.INV($C$11)-SQRT($D$3)*$A170)/SQRT(1-$D$3),TRUE),TRUE))</f>
        <v/>
      </c>
      <c r="H170">
        <f>IF($D$12=0,1,1-_xlfn.BINOM.DIST($D$12-1,$B$12,_xlfn.NORM.S.DIST((_xlfn.NORM.S.INV($C$12)-SQRT($D$3)*$A170)/SQRT(1-$D$3),TRUE),TRUE))</f>
        <v/>
      </c>
      <c r="I170">
        <f>IF($D$13=0,1,1-_xlfn.BINOM.DIST($D$13-1,$B$13,_xlfn.NORM.S.DIST((_xlfn.NORM.S.INV($C$13)-SQRT($D$3)*$A170)/SQRT(1-$D$3),TRUE),TRUE))</f>
        <v/>
      </c>
      <c r="J170">
        <f>IF($D$14=0,1,1-_xlfn.BINOM.DIST($D$14-1,$B$14,_xlfn.NORM.S.DIST((_xlfn.NORM.S.INV($C$14)-SQRT($D$3)*$A170)/SQRT(1-$D$3),TRUE),TRUE))</f>
        <v/>
      </c>
    </row>
    <row r="171">
      <c r="A171" t="n">
        <v>7.1</v>
      </c>
      <c r="B171">
        <f>1.0*0.1*EXP(-(A171^2)/2)/SQRT(2*PI())</f>
        <v/>
      </c>
      <c r="C171">
        <f>IF($D$7=0,1,1-_xlfn.BINOM.DIST($D$7-1,$B$7,_xlfn.NORM.S.DIST((_xlfn.NORM.S.INV($C$7)-SQRT($D$3)*$A171)/SQRT(1-$D$3),TRUE),TRUE))</f>
        <v/>
      </c>
      <c r="D171">
        <f>IF($D$8=0,1,1-_xlfn.BINOM.DIST($D$8-1,$B$8,_xlfn.NORM.S.DIST((_xlfn.NORM.S.INV($C$8)-SQRT($D$3)*$A171)/SQRT(1-$D$3),TRUE),TRUE))</f>
        <v/>
      </c>
      <c r="E171">
        <f>IF($D$9=0,1,1-_xlfn.BINOM.DIST($D$9-1,$B$9,_xlfn.NORM.S.DIST((_xlfn.NORM.S.INV($C$9)-SQRT($D$3)*$A171)/SQRT(1-$D$3),TRUE),TRUE))</f>
        <v/>
      </c>
      <c r="F171">
        <f>IF($D$10=0,1,1-_xlfn.BINOM.DIST($D$10-1,$B$10,_xlfn.NORM.S.DIST((_xlfn.NORM.S.INV($C$10)-SQRT($D$3)*$A171)/SQRT(1-$D$3),TRUE),TRUE))</f>
        <v/>
      </c>
      <c r="G171">
        <f>IF($D$11=0,1,1-_xlfn.BINOM.DIST($D$11-1,$B$11,_xlfn.NORM.S.DIST((_xlfn.NORM.S.INV($C$11)-SQRT($D$3)*$A171)/SQRT(1-$D$3),TRUE),TRUE))</f>
        <v/>
      </c>
      <c r="H171">
        <f>IF($D$12=0,1,1-_xlfn.BINOM.DIST($D$12-1,$B$12,_xlfn.NORM.S.DIST((_xlfn.NORM.S.INV($C$12)-SQRT($D$3)*$A171)/SQRT(1-$D$3),TRUE),TRUE))</f>
        <v/>
      </c>
      <c r="I171">
        <f>IF($D$13=0,1,1-_xlfn.BINOM.DIST($D$13-1,$B$13,_xlfn.NORM.S.DIST((_xlfn.NORM.S.INV($C$13)-SQRT($D$3)*$A171)/SQRT(1-$D$3),TRUE),TRUE))</f>
        <v/>
      </c>
      <c r="J171">
        <f>IF($D$14=0,1,1-_xlfn.BINOM.DIST($D$14-1,$B$14,_xlfn.NORM.S.DIST((_xlfn.NORM.S.INV($C$14)-SQRT($D$3)*$A171)/SQRT(1-$D$3),TRUE),TRUE))</f>
        <v/>
      </c>
    </row>
    <row r="172">
      <c r="A172" t="n">
        <v>7.2</v>
      </c>
      <c r="B172">
        <f>1.0*0.1*EXP(-(A172^2)/2)/SQRT(2*PI())</f>
        <v/>
      </c>
      <c r="C172">
        <f>IF($D$7=0,1,1-_xlfn.BINOM.DIST($D$7-1,$B$7,_xlfn.NORM.S.DIST((_xlfn.NORM.S.INV($C$7)-SQRT($D$3)*$A172)/SQRT(1-$D$3),TRUE),TRUE))</f>
        <v/>
      </c>
      <c r="D172">
        <f>IF($D$8=0,1,1-_xlfn.BINOM.DIST($D$8-1,$B$8,_xlfn.NORM.S.DIST((_xlfn.NORM.S.INV($C$8)-SQRT($D$3)*$A172)/SQRT(1-$D$3),TRUE),TRUE))</f>
        <v/>
      </c>
      <c r="E172">
        <f>IF($D$9=0,1,1-_xlfn.BINOM.DIST($D$9-1,$B$9,_xlfn.NORM.S.DIST((_xlfn.NORM.S.INV($C$9)-SQRT($D$3)*$A172)/SQRT(1-$D$3),TRUE),TRUE))</f>
        <v/>
      </c>
      <c r="F172">
        <f>IF($D$10=0,1,1-_xlfn.BINOM.DIST($D$10-1,$B$10,_xlfn.NORM.S.DIST((_xlfn.NORM.S.INV($C$10)-SQRT($D$3)*$A172)/SQRT(1-$D$3),TRUE),TRUE))</f>
        <v/>
      </c>
      <c r="G172">
        <f>IF($D$11=0,1,1-_xlfn.BINOM.DIST($D$11-1,$B$11,_xlfn.NORM.S.DIST((_xlfn.NORM.S.INV($C$11)-SQRT($D$3)*$A172)/SQRT(1-$D$3),TRUE),TRUE))</f>
        <v/>
      </c>
      <c r="H172">
        <f>IF($D$12=0,1,1-_xlfn.BINOM.DIST($D$12-1,$B$12,_xlfn.NORM.S.DIST((_xlfn.NORM.S.INV($C$12)-SQRT($D$3)*$A172)/SQRT(1-$D$3),TRUE),TRUE))</f>
        <v/>
      </c>
      <c r="I172">
        <f>IF($D$13=0,1,1-_xlfn.BINOM.DIST($D$13-1,$B$13,_xlfn.NORM.S.DIST((_xlfn.NORM.S.INV($C$13)-SQRT($D$3)*$A172)/SQRT(1-$D$3),TRUE),TRUE))</f>
        <v/>
      </c>
      <c r="J172">
        <f>IF($D$14=0,1,1-_xlfn.BINOM.DIST($D$14-1,$B$14,_xlfn.NORM.S.DIST((_xlfn.NORM.S.INV($C$14)-SQRT($D$3)*$A172)/SQRT(1-$D$3),TRUE),TRUE))</f>
        <v/>
      </c>
    </row>
    <row r="173">
      <c r="A173" t="n">
        <v>7.3</v>
      </c>
      <c r="B173">
        <f>1.0*0.1*EXP(-(A173^2)/2)/SQRT(2*PI())</f>
        <v/>
      </c>
      <c r="C173">
        <f>IF($D$7=0,1,1-_xlfn.BINOM.DIST($D$7-1,$B$7,_xlfn.NORM.S.DIST((_xlfn.NORM.S.INV($C$7)-SQRT($D$3)*$A173)/SQRT(1-$D$3),TRUE),TRUE))</f>
        <v/>
      </c>
      <c r="D173">
        <f>IF($D$8=0,1,1-_xlfn.BINOM.DIST($D$8-1,$B$8,_xlfn.NORM.S.DIST((_xlfn.NORM.S.INV($C$8)-SQRT($D$3)*$A173)/SQRT(1-$D$3),TRUE),TRUE))</f>
        <v/>
      </c>
      <c r="E173">
        <f>IF($D$9=0,1,1-_xlfn.BINOM.DIST($D$9-1,$B$9,_xlfn.NORM.S.DIST((_xlfn.NORM.S.INV($C$9)-SQRT($D$3)*$A173)/SQRT(1-$D$3),TRUE),TRUE))</f>
        <v/>
      </c>
      <c r="F173">
        <f>IF($D$10=0,1,1-_xlfn.BINOM.DIST($D$10-1,$B$10,_xlfn.NORM.S.DIST((_xlfn.NORM.S.INV($C$10)-SQRT($D$3)*$A173)/SQRT(1-$D$3),TRUE),TRUE))</f>
        <v/>
      </c>
      <c r="G173">
        <f>IF($D$11=0,1,1-_xlfn.BINOM.DIST($D$11-1,$B$11,_xlfn.NORM.S.DIST((_xlfn.NORM.S.INV($C$11)-SQRT($D$3)*$A173)/SQRT(1-$D$3),TRUE),TRUE))</f>
        <v/>
      </c>
      <c r="H173">
        <f>IF($D$12=0,1,1-_xlfn.BINOM.DIST($D$12-1,$B$12,_xlfn.NORM.S.DIST((_xlfn.NORM.S.INV($C$12)-SQRT($D$3)*$A173)/SQRT(1-$D$3),TRUE),TRUE))</f>
        <v/>
      </c>
      <c r="I173">
        <f>IF($D$13=0,1,1-_xlfn.BINOM.DIST($D$13-1,$B$13,_xlfn.NORM.S.DIST((_xlfn.NORM.S.INV($C$13)-SQRT($D$3)*$A173)/SQRT(1-$D$3),TRUE),TRUE))</f>
        <v/>
      </c>
      <c r="J173">
        <f>IF($D$14=0,1,1-_xlfn.BINOM.DIST($D$14-1,$B$14,_xlfn.NORM.S.DIST((_xlfn.NORM.S.INV($C$14)-SQRT($D$3)*$A173)/SQRT(1-$D$3),TRUE),TRUE))</f>
        <v/>
      </c>
    </row>
    <row r="174">
      <c r="A174" t="n">
        <v>7.4</v>
      </c>
      <c r="B174">
        <f>1.0*0.1*EXP(-(A174^2)/2)/SQRT(2*PI())</f>
        <v/>
      </c>
      <c r="C174">
        <f>IF($D$7=0,1,1-_xlfn.BINOM.DIST($D$7-1,$B$7,_xlfn.NORM.S.DIST((_xlfn.NORM.S.INV($C$7)-SQRT($D$3)*$A174)/SQRT(1-$D$3),TRUE),TRUE))</f>
        <v/>
      </c>
      <c r="D174">
        <f>IF($D$8=0,1,1-_xlfn.BINOM.DIST($D$8-1,$B$8,_xlfn.NORM.S.DIST((_xlfn.NORM.S.INV($C$8)-SQRT($D$3)*$A174)/SQRT(1-$D$3),TRUE),TRUE))</f>
        <v/>
      </c>
      <c r="E174">
        <f>IF($D$9=0,1,1-_xlfn.BINOM.DIST($D$9-1,$B$9,_xlfn.NORM.S.DIST((_xlfn.NORM.S.INV($C$9)-SQRT($D$3)*$A174)/SQRT(1-$D$3),TRUE),TRUE))</f>
        <v/>
      </c>
      <c r="F174">
        <f>IF($D$10=0,1,1-_xlfn.BINOM.DIST($D$10-1,$B$10,_xlfn.NORM.S.DIST((_xlfn.NORM.S.INV($C$10)-SQRT($D$3)*$A174)/SQRT(1-$D$3),TRUE),TRUE))</f>
        <v/>
      </c>
      <c r="G174">
        <f>IF($D$11=0,1,1-_xlfn.BINOM.DIST($D$11-1,$B$11,_xlfn.NORM.S.DIST((_xlfn.NORM.S.INV($C$11)-SQRT($D$3)*$A174)/SQRT(1-$D$3),TRUE),TRUE))</f>
        <v/>
      </c>
      <c r="H174">
        <f>IF($D$12=0,1,1-_xlfn.BINOM.DIST($D$12-1,$B$12,_xlfn.NORM.S.DIST((_xlfn.NORM.S.INV($C$12)-SQRT($D$3)*$A174)/SQRT(1-$D$3),TRUE),TRUE))</f>
        <v/>
      </c>
      <c r="I174">
        <f>IF($D$13=0,1,1-_xlfn.BINOM.DIST($D$13-1,$B$13,_xlfn.NORM.S.DIST((_xlfn.NORM.S.INV($C$13)-SQRT($D$3)*$A174)/SQRT(1-$D$3),TRUE),TRUE))</f>
        <v/>
      </c>
      <c r="J174">
        <f>IF($D$14=0,1,1-_xlfn.BINOM.DIST($D$14-1,$B$14,_xlfn.NORM.S.DIST((_xlfn.NORM.S.INV($C$14)-SQRT($D$3)*$A174)/SQRT(1-$D$3),TRUE),TRUE))</f>
        <v/>
      </c>
    </row>
    <row r="175">
      <c r="A175" t="n">
        <v>7.5</v>
      </c>
      <c r="B175">
        <f>1.0*0.1*EXP(-(A175^2)/2)/SQRT(2*PI())</f>
        <v/>
      </c>
      <c r="C175">
        <f>IF($D$7=0,1,1-_xlfn.BINOM.DIST($D$7-1,$B$7,_xlfn.NORM.S.DIST((_xlfn.NORM.S.INV($C$7)-SQRT($D$3)*$A175)/SQRT(1-$D$3),TRUE),TRUE))</f>
        <v/>
      </c>
      <c r="D175">
        <f>IF($D$8=0,1,1-_xlfn.BINOM.DIST($D$8-1,$B$8,_xlfn.NORM.S.DIST((_xlfn.NORM.S.INV($C$8)-SQRT($D$3)*$A175)/SQRT(1-$D$3),TRUE),TRUE))</f>
        <v/>
      </c>
      <c r="E175">
        <f>IF($D$9=0,1,1-_xlfn.BINOM.DIST($D$9-1,$B$9,_xlfn.NORM.S.DIST((_xlfn.NORM.S.INV($C$9)-SQRT($D$3)*$A175)/SQRT(1-$D$3),TRUE),TRUE))</f>
        <v/>
      </c>
      <c r="F175">
        <f>IF($D$10=0,1,1-_xlfn.BINOM.DIST($D$10-1,$B$10,_xlfn.NORM.S.DIST((_xlfn.NORM.S.INV($C$10)-SQRT($D$3)*$A175)/SQRT(1-$D$3),TRUE),TRUE))</f>
        <v/>
      </c>
      <c r="G175">
        <f>IF($D$11=0,1,1-_xlfn.BINOM.DIST($D$11-1,$B$11,_xlfn.NORM.S.DIST((_xlfn.NORM.S.INV($C$11)-SQRT($D$3)*$A175)/SQRT(1-$D$3),TRUE),TRUE))</f>
        <v/>
      </c>
      <c r="H175">
        <f>IF($D$12=0,1,1-_xlfn.BINOM.DIST($D$12-1,$B$12,_xlfn.NORM.S.DIST((_xlfn.NORM.S.INV($C$12)-SQRT($D$3)*$A175)/SQRT(1-$D$3),TRUE),TRUE))</f>
        <v/>
      </c>
      <c r="I175">
        <f>IF($D$13=0,1,1-_xlfn.BINOM.DIST($D$13-1,$B$13,_xlfn.NORM.S.DIST((_xlfn.NORM.S.INV($C$13)-SQRT($D$3)*$A175)/SQRT(1-$D$3),TRUE),TRUE))</f>
        <v/>
      </c>
      <c r="J175">
        <f>IF($D$14=0,1,1-_xlfn.BINOM.DIST($D$14-1,$B$14,_xlfn.NORM.S.DIST((_xlfn.NORM.S.INV($C$14)-SQRT($D$3)*$A175)/SQRT(1-$D$3),TRUE),TRUE))</f>
        <v/>
      </c>
    </row>
    <row r="176">
      <c r="A176" t="n">
        <v>7.6</v>
      </c>
      <c r="B176">
        <f>1.0*0.1*EXP(-(A176^2)/2)/SQRT(2*PI())</f>
        <v/>
      </c>
      <c r="C176">
        <f>IF($D$7=0,1,1-_xlfn.BINOM.DIST($D$7-1,$B$7,_xlfn.NORM.S.DIST((_xlfn.NORM.S.INV($C$7)-SQRT($D$3)*$A176)/SQRT(1-$D$3),TRUE),TRUE))</f>
        <v/>
      </c>
      <c r="D176">
        <f>IF($D$8=0,1,1-_xlfn.BINOM.DIST($D$8-1,$B$8,_xlfn.NORM.S.DIST((_xlfn.NORM.S.INV($C$8)-SQRT($D$3)*$A176)/SQRT(1-$D$3),TRUE),TRUE))</f>
        <v/>
      </c>
      <c r="E176">
        <f>IF($D$9=0,1,1-_xlfn.BINOM.DIST($D$9-1,$B$9,_xlfn.NORM.S.DIST((_xlfn.NORM.S.INV($C$9)-SQRT($D$3)*$A176)/SQRT(1-$D$3),TRUE),TRUE))</f>
        <v/>
      </c>
      <c r="F176">
        <f>IF($D$10=0,1,1-_xlfn.BINOM.DIST($D$10-1,$B$10,_xlfn.NORM.S.DIST((_xlfn.NORM.S.INV($C$10)-SQRT($D$3)*$A176)/SQRT(1-$D$3),TRUE),TRUE))</f>
        <v/>
      </c>
      <c r="G176">
        <f>IF($D$11=0,1,1-_xlfn.BINOM.DIST($D$11-1,$B$11,_xlfn.NORM.S.DIST((_xlfn.NORM.S.INV($C$11)-SQRT($D$3)*$A176)/SQRT(1-$D$3),TRUE),TRUE))</f>
        <v/>
      </c>
      <c r="H176">
        <f>IF($D$12=0,1,1-_xlfn.BINOM.DIST($D$12-1,$B$12,_xlfn.NORM.S.DIST((_xlfn.NORM.S.INV($C$12)-SQRT($D$3)*$A176)/SQRT(1-$D$3),TRUE),TRUE))</f>
        <v/>
      </c>
      <c r="I176">
        <f>IF($D$13=0,1,1-_xlfn.BINOM.DIST($D$13-1,$B$13,_xlfn.NORM.S.DIST((_xlfn.NORM.S.INV($C$13)-SQRT($D$3)*$A176)/SQRT(1-$D$3),TRUE),TRUE))</f>
        <v/>
      </c>
      <c r="J176">
        <f>IF($D$14=0,1,1-_xlfn.BINOM.DIST($D$14-1,$B$14,_xlfn.NORM.S.DIST((_xlfn.NORM.S.INV($C$14)-SQRT($D$3)*$A176)/SQRT(1-$D$3),TRUE),TRUE))</f>
        <v/>
      </c>
    </row>
    <row r="177">
      <c r="A177" t="n">
        <v>7.7</v>
      </c>
      <c r="B177">
        <f>1.0*0.1*EXP(-(A177^2)/2)/SQRT(2*PI())</f>
        <v/>
      </c>
      <c r="C177">
        <f>IF($D$7=0,1,1-_xlfn.BINOM.DIST($D$7-1,$B$7,_xlfn.NORM.S.DIST((_xlfn.NORM.S.INV($C$7)-SQRT($D$3)*$A177)/SQRT(1-$D$3),TRUE),TRUE))</f>
        <v/>
      </c>
      <c r="D177">
        <f>IF($D$8=0,1,1-_xlfn.BINOM.DIST($D$8-1,$B$8,_xlfn.NORM.S.DIST((_xlfn.NORM.S.INV($C$8)-SQRT($D$3)*$A177)/SQRT(1-$D$3),TRUE),TRUE))</f>
        <v/>
      </c>
      <c r="E177">
        <f>IF($D$9=0,1,1-_xlfn.BINOM.DIST($D$9-1,$B$9,_xlfn.NORM.S.DIST((_xlfn.NORM.S.INV($C$9)-SQRT($D$3)*$A177)/SQRT(1-$D$3),TRUE),TRUE))</f>
        <v/>
      </c>
      <c r="F177">
        <f>IF($D$10=0,1,1-_xlfn.BINOM.DIST($D$10-1,$B$10,_xlfn.NORM.S.DIST((_xlfn.NORM.S.INV($C$10)-SQRT($D$3)*$A177)/SQRT(1-$D$3),TRUE),TRUE))</f>
        <v/>
      </c>
      <c r="G177">
        <f>IF($D$11=0,1,1-_xlfn.BINOM.DIST($D$11-1,$B$11,_xlfn.NORM.S.DIST((_xlfn.NORM.S.INV($C$11)-SQRT($D$3)*$A177)/SQRT(1-$D$3),TRUE),TRUE))</f>
        <v/>
      </c>
      <c r="H177">
        <f>IF($D$12=0,1,1-_xlfn.BINOM.DIST($D$12-1,$B$12,_xlfn.NORM.S.DIST((_xlfn.NORM.S.INV($C$12)-SQRT($D$3)*$A177)/SQRT(1-$D$3),TRUE),TRUE))</f>
        <v/>
      </c>
      <c r="I177">
        <f>IF($D$13=0,1,1-_xlfn.BINOM.DIST($D$13-1,$B$13,_xlfn.NORM.S.DIST((_xlfn.NORM.S.INV($C$13)-SQRT($D$3)*$A177)/SQRT(1-$D$3),TRUE),TRUE))</f>
        <v/>
      </c>
      <c r="J177">
        <f>IF($D$14=0,1,1-_xlfn.BINOM.DIST($D$14-1,$B$14,_xlfn.NORM.S.DIST((_xlfn.NORM.S.INV($C$14)-SQRT($D$3)*$A177)/SQRT(1-$D$3),TRUE),TRUE))</f>
        <v/>
      </c>
    </row>
    <row r="178">
      <c r="A178" t="n">
        <v>7.8</v>
      </c>
      <c r="B178">
        <f>1.0*0.1*EXP(-(A178^2)/2)/SQRT(2*PI())</f>
        <v/>
      </c>
      <c r="C178">
        <f>IF($D$7=0,1,1-_xlfn.BINOM.DIST($D$7-1,$B$7,_xlfn.NORM.S.DIST((_xlfn.NORM.S.INV($C$7)-SQRT($D$3)*$A178)/SQRT(1-$D$3),TRUE),TRUE))</f>
        <v/>
      </c>
      <c r="D178">
        <f>IF($D$8=0,1,1-_xlfn.BINOM.DIST($D$8-1,$B$8,_xlfn.NORM.S.DIST((_xlfn.NORM.S.INV($C$8)-SQRT($D$3)*$A178)/SQRT(1-$D$3),TRUE),TRUE))</f>
        <v/>
      </c>
      <c r="E178">
        <f>IF($D$9=0,1,1-_xlfn.BINOM.DIST($D$9-1,$B$9,_xlfn.NORM.S.DIST((_xlfn.NORM.S.INV($C$9)-SQRT($D$3)*$A178)/SQRT(1-$D$3),TRUE),TRUE))</f>
        <v/>
      </c>
      <c r="F178">
        <f>IF($D$10=0,1,1-_xlfn.BINOM.DIST($D$10-1,$B$10,_xlfn.NORM.S.DIST((_xlfn.NORM.S.INV($C$10)-SQRT($D$3)*$A178)/SQRT(1-$D$3),TRUE),TRUE))</f>
        <v/>
      </c>
      <c r="G178">
        <f>IF($D$11=0,1,1-_xlfn.BINOM.DIST($D$11-1,$B$11,_xlfn.NORM.S.DIST((_xlfn.NORM.S.INV($C$11)-SQRT($D$3)*$A178)/SQRT(1-$D$3),TRUE),TRUE))</f>
        <v/>
      </c>
      <c r="H178">
        <f>IF($D$12=0,1,1-_xlfn.BINOM.DIST($D$12-1,$B$12,_xlfn.NORM.S.DIST((_xlfn.NORM.S.INV($C$12)-SQRT($D$3)*$A178)/SQRT(1-$D$3),TRUE),TRUE))</f>
        <v/>
      </c>
      <c r="I178">
        <f>IF($D$13=0,1,1-_xlfn.BINOM.DIST($D$13-1,$B$13,_xlfn.NORM.S.DIST((_xlfn.NORM.S.INV($C$13)-SQRT($D$3)*$A178)/SQRT(1-$D$3),TRUE),TRUE))</f>
        <v/>
      </c>
      <c r="J178">
        <f>IF($D$14=0,1,1-_xlfn.BINOM.DIST($D$14-1,$B$14,_xlfn.NORM.S.DIST((_xlfn.NORM.S.INV($C$14)-SQRT($D$3)*$A178)/SQRT(1-$D$3),TRUE),TRUE))</f>
        <v/>
      </c>
    </row>
    <row r="179">
      <c r="A179" t="n">
        <v>7.9</v>
      </c>
      <c r="B179">
        <f>1.0*0.1*EXP(-(A179^2)/2)/SQRT(2*PI())</f>
        <v/>
      </c>
      <c r="C179">
        <f>IF($D$7=0,1,1-_xlfn.BINOM.DIST($D$7-1,$B$7,_xlfn.NORM.S.DIST((_xlfn.NORM.S.INV($C$7)-SQRT($D$3)*$A179)/SQRT(1-$D$3),TRUE),TRUE))</f>
        <v/>
      </c>
      <c r="D179">
        <f>IF($D$8=0,1,1-_xlfn.BINOM.DIST($D$8-1,$B$8,_xlfn.NORM.S.DIST((_xlfn.NORM.S.INV($C$8)-SQRT($D$3)*$A179)/SQRT(1-$D$3),TRUE),TRUE))</f>
        <v/>
      </c>
      <c r="E179">
        <f>IF($D$9=0,1,1-_xlfn.BINOM.DIST($D$9-1,$B$9,_xlfn.NORM.S.DIST((_xlfn.NORM.S.INV($C$9)-SQRT($D$3)*$A179)/SQRT(1-$D$3),TRUE),TRUE))</f>
        <v/>
      </c>
      <c r="F179">
        <f>IF($D$10=0,1,1-_xlfn.BINOM.DIST($D$10-1,$B$10,_xlfn.NORM.S.DIST((_xlfn.NORM.S.INV($C$10)-SQRT($D$3)*$A179)/SQRT(1-$D$3),TRUE),TRUE))</f>
        <v/>
      </c>
      <c r="G179">
        <f>IF($D$11=0,1,1-_xlfn.BINOM.DIST($D$11-1,$B$11,_xlfn.NORM.S.DIST((_xlfn.NORM.S.INV($C$11)-SQRT($D$3)*$A179)/SQRT(1-$D$3),TRUE),TRUE))</f>
        <v/>
      </c>
      <c r="H179">
        <f>IF($D$12=0,1,1-_xlfn.BINOM.DIST($D$12-1,$B$12,_xlfn.NORM.S.DIST((_xlfn.NORM.S.INV($C$12)-SQRT($D$3)*$A179)/SQRT(1-$D$3),TRUE),TRUE))</f>
        <v/>
      </c>
      <c r="I179">
        <f>IF($D$13=0,1,1-_xlfn.BINOM.DIST($D$13-1,$B$13,_xlfn.NORM.S.DIST((_xlfn.NORM.S.INV($C$13)-SQRT($D$3)*$A179)/SQRT(1-$D$3),TRUE),TRUE))</f>
        <v/>
      </c>
      <c r="J179">
        <f>IF($D$14=0,1,1-_xlfn.BINOM.DIST($D$14-1,$B$14,_xlfn.NORM.S.DIST((_xlfn.NORM.S.INV($C$14)-SQRT($D$3)*$A179)/SQRT(1-$D$3),TRUE),TRUE))</f>
        <v/>
      </c>
    </row>
    <row r="180">
      <c r="A180" t="n">
        <v>8</v>
      </c>
      <c r="B180">
        <f>0.5*0.1*EXP(-(A180^2)/2)/SQRT(2*PI())</f>
        <v/>
      </c>
      <c r="C180">
        <f>IF($D$7=0,1,1-_xlfn.BINOM.DIST($D$7-1,$B$7,_xlfn.NORM.S.DIST((_xlfn.NORM.S.INV($C$7)-SQRT($D$3)*$A180)/SQRT(1-$D$3),TRUE),TRUE))</f>
        <v/>
      </c>
      <c r="D180">
        <f>IF($D$8=0,1,1-_xlfn.BINOM.DIST($D$8-1,$B$8,_xlfn.NORM.S.DIST((_xlfn.NORM.S.INV($C$8)-SQRT($D$3)*$A180)/SQRT(1-$D$3),TRUE),TRUE))</f>
        <v/>
      </c>
      <c r="E180">
        <f>IF($D$9=0,1,1-_xlfn.BINOM.DIST($D$9-1,$B$9,_xlfn.NORM.S.DIST((_xlfn.NORM.S.INV($C$9)-SQRT($D$3)*$A180)/SQRT(1-$D$3),TRUE),TRUE))</f>
        <v/>
      </c>
      <c r="F180">
        <f>IF($D$10=0,1,1-_xlfn.BINOM.DIST($D$10-1,$B$10,_xlfn.NORM.S.DIST((_xlfn.NORM.S.INV($C$10)-SQRT($D$3)*$A180)/SQRT(1-$D$3),TRUE),TRUE))</f>
        <v/>
      </c>
      <c r="G180">
        <f>IF($D$11=0,1,1-_xlfn.BINOM.DIST($D$11-1,$B$11,_xlfn.NORM.S.DIST((_xlfn.NORM.S.INV($C$11)-SQRT($D$3)*$A180)/SQRT(1-$D$3),TRUE),TRUE))</f>
        <v/>
      </c>
      <c r="H180">
        <f>IF($D$12=0,1,1-_xlfn.BINOM.DIST($D$12-1,$B$12,_xlfn.NORM.S.DIST((_xlfn.NORM.S.INV($C$12)-SQRT($D$3)*$A180)/SQRT(1-$D$3),TRUE),TRUE))</f>
        <v/>
      </c>
      <c r="I180">
        <f>IF($D$13=0,1,1-_xlfn.BINOM.DIST($D$13-1,$B$13,_xlfn.NORM.S.DIST((_xlfn.NORM.S.INV($C$13)-SQRT($D$3)*$A180)/SQRT(1-$D$3),TRUE),TRUE))</f>
        <v/>
      </c>
      <c r="J180">
        <f>IF($D$14=0,1,1-_xlfn.BINOM.DIST($D$14-1,$B$14,_xlfn.NORM.S.DIST((_xlfn.NORM.S.INV($C$14)-SQRT($D$3)*$A180)/SQRT(1-$D$3),TRUE),TRUE))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2026-09-28T06:44:01Z</dcterms:created>
  <dcterms:modified xmlns:dcterms="http://purl.org/dc/terms/" xmlns:xsi="http://www.w3.org/2001/XMLSchema-instance" xsi:type="dcterms:W3CDTF">2026-09-28T06:44:01Z</dcterms:modified>
</cp:coreProperties>
</file>