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eciles" sheetId="2" state="visible" r:id="rId2"/>
    <sheet xmlns:r="http://schemas.openxmlformats.org/officeDocument/2006/relationships" name="Caida" sheetId="3" state="visible" r:id="rId3"/>
    <sheet xmlns:r="http://schemas.openxmlformats.org/officeDocument/2006/relationships" name="Rui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0"/>
    <numFmt numFmtId="166" formatCode="0.00000"/>
    <numFmt numFmtId="167" formatCode="0.0000"/>
    <numFmt numFmtId="168" formatCode="0.0000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ECEFF1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3" borderId="1" pivotButton="0" quotePrefix="0" xfId="0"/>
    <xf numFmtId="3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2" fontId="0" fillId="3" borderId="0" pivotButton="0" quotePrefix="0" xfId="0"/>
    <xf numFmtId="3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2" fillId="0" borderId="1" pivotButton="0" quotePrefix="0" xfId="0"/>
    <xf numFmtId="1" fontId="0" fillId="0" borderId="0" pivotButton="0" quotePrefix="0" xfId="0"/>
    <xf numFmtId="49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64" fontId="0" fillId="0" borderId="0" pivotButton="0" quotePrefix="0" xfId="0"/>
    <xf numFmtId="2" fontId="0" fillId="0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M12 · Tabla de deciles, Gini y ruido de la caída</t>
        </is>
      </c>
    </row>
    <row r="2">
      <c r="A2" t="inlineStr">
        <is>
          <t>Serie 2 «Del embudo al gobierno» · módulo M12 (poder discriminante).</t>
        </is>
      </c>
    </row>
    <row r="3">
      <c r="A3" t="inlineStr"/>
    </row>
    <row r="4">
      <c r="A4" s="2" t="inlineStr">
        <is>
          <t>QUÉ ES</t>
        </is>
      </c>
    </row>
    <row r="5">
      <c r="A5" t="inlineStr">
        <is>
          <t>Calculadora con fórmulas vivas. Tres hojas de cálculo:</t>
        </is>
      </c>
    </row>
    <row r="6">
      <c r="A6" t="inlineStr">
        <is>
          <t xml:space="preserve">  Deciles: pegas n y malos por decil (ordenado de PEOR a MEJOR score) y calcula tasa, captura</t>
        </is>
      </c>
    </row>
    <row r="7">
      <c r="A7" t="inlineStr">
        <is>
          <t xml:space="preserve">           acumulada, lift, KS por decil, AUC y Gini por trapecios, AR de la CAP (= Gini), el error</t>
        </is>
      </c>
    </row>
    <row r="8">
      <c r="A8" t="inlineStr">
        <is>
          <t xml:space="preserve">           estándar de Hanley–McNeil y un IC 95% aproximado del Gini.</t>
        </is>
      </c>
    </row>
    <row r="9">
      <c r="A9" t="inlineStr">
        <is>
          <t xml:space="preserve">  Caida:   compara el Gini de dos muestras independientes (p. ej. DEV y OOT): caída absoluta,</t>
        </is>
      </c>
    </row>
    <row r="10">
      <c r="A10" t="inlineStr">
        <is>
          <t xml:space="preserve">           relativa, semáforo del curso (20% / 30%) y test z con errores de Hanley–McNeil.</t>
        </is>
      </c>
    </row>
    <row r="11">
      <c r="A11" t="inlineStr">
        <is>
          <t xml:space="preserve">  Ruido:   cuánto cae el Gini por puro azar según el número de malos (umbral 95% unilateral).</t>
        </is>
      </c>
    </row>
    <row r="12">
      <c r="A12" t="inlineStr"/>
    </row>
    <row r="13">
      <c r="A13" s="2" t="inlineStr">
        <is>
          <t>CÓMO USARLA</t>
        </is>
      </c>
    </row>
    <row r="14">
      <c r="A14" t="inlineStr">
        <is>
          <t>Solo se editan las celdas con relleno AMARILLO. Todo lo demás son fórmulas.</t>
        </is>
      </c>
    </row>
    <row r="15">
      <c r="A15" t="inlineStr">
        <is>
          <t>Viene precargada con la tabla de deciles OOT de Banco Austral (clase 5): 2.004 solicitudes, 119 malos.</t>
        </is>
      </c>
    </row>
    <row r="16">
      <c r="A16" t="inlineStr">
        <is>
          <t>Decil 1 = peor score. Si tu tabla viene de mejor a peor, inviértela antes de pegar.</t>
        </is>
      </c>
    </row>
    <row r="17">
      <c r="A17" t="inlineStr"/>
    </row>
    <row r="18">
      <c r="A18" s="2" t="inlineStr">
        <is>
          <t>SUPUESTOS Y CAVEATS</t>
        </is>
      </c>
    </row>
    <row r="19">
      <c r="A19" t="inlineStr">
        <is>
          <t>1. El Gini por deciles trata como empatados a todos los clientes de un mismo decil (convención ½):</t>
        </is>
      </c>
    </row>
    <row r="20">
      <c r="A20" t="inlineStr">
        <is>
          <t xml:space="preserve">   es siempre una aproximación, en general algo menor que el Gini exacto sobre el score continuo.</t>
        </is>
      </c>
    </row>
    <row r="21">
      <c r="A21" t="inlineStr">
        <is>
          <t xml:space="preserve">   Con los deciles OOT del curso da 0,664 vs 0,675 exacto; el KS por decil, 0,529 vs 0,545.</t>
        </is>
      </c>
    </row>
    <row r="22">
      <c r="A22" t="inlineStr">
        <is>
          <t>2. El KS por decil es ≤ al KS exacto: la grilla de 10 cortes no ve el máximo entre cortes.</t>
        </is>
      </c>
    </row>
    <row r="23">
      <c r="A23" t="inlineStr">
        <is>
          <t>3. Hanley–McNeil (1982) supone una forma exponencial para las distribuciones; en carteras de crédito</t>
        </is>
      </c>
    </row>
    <row r="24">
      <c r="A24" t="inlineStr">
        <is>
          <t xml:space="preserve">   sobreestimó el error estándar ~10% (cartera sintética) y 25–50% (bootstrap de Banco Austral) en el módulo.</t>
        </is>
      </c>
    </row>
    <row r="25">
      <c r="A25" t="inlineStr">
        <is>
          <t xml:space="preserve">   Para un informe formal, usa DeLong o bootstrap; esta hoja sirve para órdenes de magnitud.</t>
        </is>
      </c>
    </row>
    <row r="26">
      <c r="A26" t="inlineStr">
        <is>
          <t>4. El test de la hoja Caida supone muestras INDEPENDIENTES (DEV vs OOT, HO vs OOT). Para comparar</t>
        </is>
      </c>
    </row>
    <row r="27">
      <c r="A27" t="inlineStr">
        <is>
          <t xml:space="preserve">   dos modelos sobre la MISMA muestra se necesita la covarianza (DeLong pareado): esta hoja no sirve.</t>
        </is>
      </c>
    </row>
    <row r="28">
      <c r="A28" t="inlineStr">
        <is>
          <t>5. La caída DEV→HO/OOT mezcla optimismo de selección con deterioro; HO→OOT es la que habla de tiempo.</t>
        </is>
      </c>
    </row>
    <row r="29">
      <c r="A29" t="inlineStr">
        <is>
          <t>6. Umbrales 0,10 / 0,15 / 20% / 30%: convenciones del curso, sin base inferencial.</t>
        </is>
      </c>
    </row>
    <row r="30">
      <c r="A30" t="inlineStr"/>
    </row>
    <row r="31">
      <c r="A31" t="inlineStr">
        <is>
          <t>Funciones usadas: SUM, SUMPRODUCT, MAX, MATCH, INDEX, IF, SQRT, ABS, NORMSDIST, NORMSINV, COUNTIF.</t>
        </is>
      </c>
    </row>
    <row r="32">
      <c r="A32" t="inlineStr">
        <is>
          <t>Compatibles con Excel, LibreOffice y Google Sheets. Sin macros.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46" customWidth="1" min="19" max="19"/>
    <col width="14" customWidth="1" min="20" max="20"/>
  </cols>
  <sheetData>
    <row r="1">
      <c r="A1" s="1" t="inlineStr">
        <is>
          <t>Tabla de deciles (decil 1 = peor score) · precargada con OOT de Banco Austral (clase 5)</t>
        </is>
      </c>
    </row>
    <row r="2">
      <c r="A2" t="inlineStr">
        <is>
          <t>Edita solo n y malos (amarillo). Parámetro z del IC en la celda T5.</t>
        </is>
      </c>
    </row>
    <row r="4">
      <c r="A4" s="3" t="inlineStr">
        <is>
          <t>decil</t>
        </is>
      </c>
      <c r="B4" s="3" t="inlineStr">
        <is>
          <t>n</t>
        </is>
      </c>
      <c r="C4" s="3" t="inlineStr">
        <is>
          <t>malos</t>
        </is>
      </c>
      <c r="D4" s="3" t="inlineStr">
        <is>
          <t>buenos</t>
        </is>
      </c>
      <c r="E4" s="3" t="inlineStr">
        <is>
          <t>tasa_malos</t>
        </is>
      </c>
      <c r="F4" s="3" t="inlineStr">
        <is>
          <t>pct_pob</t>
        </is>
      </c>
      <c r="G4" s="3" t="inlineStr">
        <is>
          <t>pob_acum</t>
        </is>
      </c>
      <c r="H4" s="3" t="inlineStr">
        <is>
          <t>malos_acum</t>
        </is>
      </c>
      <c r="I4" s="3" t="inlineStr">
        <is>
          <t>captura_malos_acum</t>
        </is>
      </c>
      <c r="J4" s="3" t="inlineStr">
        <is>
          <t>buenos_acum</t>
        </is>
      </c>
      <c r="K4" s="3" t="inlineStr">
        <is>
          <t>captura_buenos_acum</t>
        </is>
      </c>
      <c r="L4" s="3" t="inlineStr">
        <is>
          <t>lift_decil</t>
        </is>
      </c>
      <c r="M4" s="3" t="inlineStr">
        <is>
          <t>lift_acum</t>
        </is>
      </c>
      <c r="N4" s="3" t="inlineStr">
        <is>
          <t>ks_decil</t>
        </is>
      </c>
      <c r="O4" s="3" t="inlineStr">
        <is>
          <t>trapecio_roc</t>
        </is>
      </c>
      <c r="P4" s="3" t="inlineStr">
        <is>
          <t>trapecio_cap</t>
        </is>
      </c>
      <c r="Q4" s="3" t="inlineStr">
        <is>
          <t>inversion</t>
        </is>
      </c>
      <c r="S4" s="2" t="inlineStr">
        <is>
          <t>Resumen</t>
        </is>
      </c>
    </row>
    <row r="5">
      <c r="A5" s="4" t="n">
        <v>1</v>
      </c>
      <c r="B5" s="5" t="n">
        <v>201</v>
      </c>
      <c r="C5" s="5" t="n">
        <v>57</v>
      </c>
      <c r="D5" s="6">
        <f>B5-C5</f>
        <v/>
      </c>
      <c r="E5" s="7">
        <f>IF(B5&gt;0,C5/B5,0)</f>
        <v/>
      </c>
      <c r="F5" s="7">
        <f>B5/$B$15</f>
        <v/>
      </c>
      <c r="G5" s="7">
        <f>SUM($B$5:B5)/$B$15</f>
        <v/>
      </c>
      <c r="H5" s="6">
        <f>SUM($C$5:C5)</f>
        <v/>
      </c>
      <c r="I5" s="7">
        <f>H5/$C$15</f>
        <v/>
      </c>
      <c r="J5" s="6">
        <f>SUM($D$5:D5)</f>
        <v/>
      </c>
      <c r="K5" s="7">
        <f>J5/$D$15</f>
        <v/>
      </c>
      <c r="L5" s="8">
        <f>E5/$E$15</f>
        <v/>
      </c>
      <c r="M5" s="8">
        <f>I5/G5</f>
        <v/>
      </c>
      <c r="N5" s="9">
        <f>I5-K5</f>
        <v/>
      </c>
      <c r="O5" s="10">
        <f>K5*I5/2</f>
        <v/>
      </c>
      <c r="P5" s="10">
        <f>G5*I5/2</f>
        <v/>
      </c>
      <c r="Q5" s="4" t="n">
        <v>0</v>
      </c>
      <c r="S5" t="inlineStr">
        <is>
          <t>z del IC (1,96 = 95%)</t>
        </is>
      </c>
      <c r="T5" s="11" t="n">
        <v>1.96</v>
      </c>
    </row>
    <row r="6">
      <c r="A6" s="4" t="n">
        <v>2</v>
      </c>
      <c r="B6" s="5" t="n">
        <v>200</v>
      </c>
      <c r="C6" s="5" t="n">
        <v>26</v>
      </c>
      <c r="D6" s="6">
        <f>B6-C6</f>
        <v/>
      </c>
      <c r="E6" s="7">
        <f>IF(B6&gt;0,C6/B6,0)</f>
        <v/>
      </c>
      <c r="F6" s="7">
        <f>B6/$B$15</f>
        <v/>
      </c>
      <c r="G6" s="7">
        <f>SUM($B$5:B6)/$B$15</f>
        <v/>
      </c>
      <c r="H6" s="6">
        <f>SUM($C$5:C6)</f>
        <v/>
      </c>
      <c r="I6" s="7">
        <f>H6/$C$15</f>
        <v/>
      </c>
      <c r="J6" s="6">
        <f>SUM($D$5:D6)</f>
        <v/>
      </c>
      <c r="K6" s="7">
        <f>J6/$D$15</f>
        <v/>
      </c>
      <c r="L6" s="8">
        <f>E6/$E$15</f>
        <v/>
      </c>
      <c r="M6" s="8">
        <f>I6/G6</f>
        <v/>
      </c>
      <c r="N6" s="9">
        <f>I6-K6</f>
        <v/>
      </c>
      <c r="O6" s="10">
        <f>(K6-K5)*(I6+I5)/2</f>
        <v/>
      </c>
      <c r="P6" s="10">
        <f>(G6-G5)*(I6+I5)/2</f>
        <v/>
      </c>
      <c r="Q6" s="4">
        <f>IF(E6&gt;E5,1,0)</f>
        <v/>
      </c>
      <c r="S6" t="inlineStr">
        <is>
          <t>n total</t>
        </is>
      </c>
      <c r="T6" s="12">
        <f>B15</f>
        <v/>
      </c>
    </row>
    <row r="7">
      <c r="A7" s="4" t="n">
        <v>3</v>
      </c>
      <c r="B7" s="5" t="n">
        <v>200</v>
      </c>
      <c r="C7" s="5" t="n">
        <v>11</v>
      </c>
      <c r="D7" s="6">
        <f>B7-C7</f>
        <v/>
      </c>
      <c r="E7" s="7">
        <f>IF(B7&gt;0,C7/B7,0)</f>
        <v/>
      </c>
      <c r="F7" s="7">
        <f>B7/$B$15</f>
        <v/>
      </c>
      <c r="G7" s="7">
        <f>SUM($B$5:B7)/$B$15</f>
        <v/>
      </c>
      <c r="H7" s="6">
        <f>SUM($C$5:C7)</f>
        <v/>
      </c>
      <c r="I7" s="7">
        <f>H7/$C$15</f>
        <v/>
      </c>
      <c r="J7" s="6">
        <f>SUM($D$5:D7)</f>
        <v/>
      </c>
      <c r="K7" s="7">
        <f>J7/$D$15</f>
        <v/>
      </c>
      <c r="L7" s="8">
        <f>E7/$E$15</f>
        <v/>
      </c>
      <c r="M7" s="8">
        <f>I7/G7</f>
        <v/>
      </c>
      <c r="N7" s="9">
        <f>I7-K7</f>
        <v/>
      </c>
      <c r="O7" s="10">
        <f>(K7-K6)*(I7+I6)/2</f>
        <v/>
      </c>
      <c r="P7" s="10">
        <f>(G7-G6)*(I7+I6)/2</f>
        <v/>
      </c>
      <c r="Q7" s="4">
        <f>IF(E7&gt;E6,1,0)</f>
        <v/>
      </c>
      <c r="S7" t="inlineStr">
        <is>
          <t>malos</t>
        </is>
      </c>
      <c r="T7" s="12">
        <f>C15</f>
        <v/>
      </c>
    </row>
    <row r="8">
      <c r="A8" s="4" t="n">
        <v>4</v>
      </c>
      <c r="B8" s="5" t="n">
        <v>201</v>
      </c>
      <c r="C8" s="5" t="n">
        <v>5</v>
      </c>
      <c r="D8" s="6">
        <f>B8-C8</f>
        <v/>
      </c>
      <c r="E8" s="7">
        <f>IF(B8&gt;0,C8/B8,0)</f>
        <v/>
      </c>
      <c r="F8" s="7">
        <f>B8/$B$15</f>
        <v/>
      </c>
      <c r="G8" s="7">
        <f>SUM($B$5:B8)/$B$15</f>
        <v/>
      </c>
      <c r="H8" s="6">
        <f>SUM($C$5:C8)</f>
        <v/>
      </c>
      <c r="I8" s="7">
        <f>H8/$C$15</f>
        <v/>
      </c>
      <c r="J8" s="6">
        <f>SUM($D$5:D8)</f>
        <v/>
      </c>
      <c r="K8" s="7">
        <f>J8/$D$15</f>
        <v/>
      </c>
      <c r="L8" s="8">
        <f>E8/$E$15</f>
        <v/>
      </c>
      <c r="M8" s="8">
        <f>I8/G8</f>
        <v/>
      </c>
      <c r="N8" s="9">
        <f>I8-K8</f>
        <v/>
      </c>
      <c r="O8" s="10">
        <f>(K8-K7)*(I8+I7)/2</f>
        <v/>
      </c>
      <c r="P8" s="10">
        <f>(G8-G7)*(I8+I7)/2</f>
        <v/>
      </c>
      <c r="Q8" s="4">
        <f>IF(E8&gt;E7,1,0)</f>
        <v/>
      </c>
      <c r="S8" t="inlineStr">
        <is>
          <t>buenos</t>
        </is>
      </c>
      <c r="T8" s="12">
        <f>D15</f>
        <v/>
      </c>
    </row>
    <row r="9">
      <c r="A9" s="4" t="n">
        <v>5</v>
      </c>
      <c r="B9" s="5" t="n">
        <v>200</v>
      </c>
      <c r="C9" s="5" t="n">
        <v>7</v>
      </c>
      <c r="D9" s="6">
        <f>B9-C9</f>
        <v/>
      </c>
      <c r="E9" s="7">
        <f>IF(B9&gt;0,C9/B9,0)</f>
        <v/>
      </c>
      <c r="F9" s="7">
        <f>B9/$B$15</f>
        <v/>
      </c>
      <c r="G9" s="7">
        <f>SUM($B$5:B9)/$B$15</f>
        <v/>
      </c>
      <c r="H9" s="6">
        <f>SUM($C$5:C9)</f>
        <v/>
      </c>
      <c r="I9" s="7">
        <f>H9/$C$15</f>
        <v/>
      </c>
      <c r="J9" s="6">
        <f>SUM($D$5:D9)</f>
        <v/>
      </c>
      <c r="K9" s="7">
        <f>J9/$D$15</f>
        <v/>
      </c>
      <c r="L9" s="8">
        <f>E9/$E$15</f>
        <v/>
      </c>
      <c r="M9" s="8">
        <f>I9/G9</f>
        <v/>
      </c>
      <c r="N9" s="9">
        <f>I9-K9</f>
        <v/>
      </c>
      <c r="O9" s="10">
        <f>(K9-K8)*(I9+I8)/2</f>
        <v/>
      </c>
      <c r="P9" s="10">
        <f>(G9-G8)*(I9+I8)/2</f>
        <v/>
      </c>
      <c r="Q9" s="4">
        <f>IF(E9&gt;E8,1,0)</f>
        <v/>
      </c>
      <c r="S9" t="inlineStr">
        <is>
          <t>tasa global π</t>
        </is>
      </c>
      <c r="T9" s="13">
        <f>E15</f>
        <v/>
      </c>
    </row>
    <row r="10">
      <c r="A10" s="4" t="n">
        <v>6</v>
      </c>
      <c r="B10" s="5" t="n">
        <v>200</v>
      </c>
      <c r="C10" s="5" t="n">
        <v>8</v>
      </c>
      <c r="D10" s="6">
        <f>B10-C10</f>
        <v/>
      </c>
      <c r="E10" s="7">
        <f>IF(B10&gt;0,C10/B10,0)</f>
        <v/>
      </c>
      <c r="F10" s="7">
        <f>B10/$B$15</f>
        <v/>
      </c>
      <c r="G10" s="7">
        <f>SUM($B$5:B10)/$B$15</f>
        <v/>
      </c>
      <c r="H10" s="6">
        <f>SUM($C$5:C10)</f>
        <v/>
      </c>
      <c r="I10" s="7">
        <f>H10/$C$15</f>
        <v/>
      </c>
      <c r="J10" s="6">
        <f>SUM($D$5:D10)</f>
        <v/>
      </c>
      <c r="K10" s="7">
        <f>J10/$D$15</f>
        <v/>
      </c>
      <c r="L10" s="8">
        <f>E10/$E$15</f>
        <v/>
      </c>
      <c r="M10" s="8">
        <f>I10/G10</f>
        <v/>
      </c>
      <c r="N10" s="9">
        <f>I10-K10</f>
        <v/>
      </c>
      <c r="O10" s="10">
        <f>(K10-K9)*(I10+I9)/2</f>
        <v/>
      </c>
      <c r="P10" s="10">
        <f>(G10-G9)*(I10+I9)/2</f>
        <v/>
      </c>
      <c r="Q10" s="4">
        <f>IF(E10&gt;E9,1,0)</f>
        <v/>
      </c>
      <c r="S10" t="inlineStr">
        <is>
          <t>AUC (trapecios sobre ROC agrupada)</t>
        </is>
      </c>
      <c r="T10" s="14">
        <f>O15</f>
        <v/>
      </c>
    </row>
    <row r="11">
      <c r="A11" s="4" t="n">
        <v>7</v>
      </c>
      <c r="B11" s="5" t="n">
        <v>201</v>
      </c>
      <c r="C11" s="5" t="n">
        <v>2</v>
      </c>
      <c r="D11" s="6">
        <f>B11-C11</f>
        <v/>
      </c>
      <c r="E11" s="7">
        <f>IF(B11&gt;0,C11/B11,0)</f>
        <v/>
      </c>
      <c r="F11" s="7">
        <f>B11/$B$15</f>
        <v/>
      </c>
      <c r="G11" s="7">
        <f>SUM($B$5:B11)/$B$15</f>
        <v/>
      </c>
      <c r="H11" s="6">
        <f>SUM($C$5:C11)</f>
        <v/>
      </c>
      <c r="I11" s="7">
        <f>H11/$C$15</f>
        <v/>
      </c>
      <c r="J11" s="6">
        <f>SUM($D$5:D11)</f>
        <v/>
      </c>
      <c r="K11" s="7">
        <f>J11/$D$15</f>
        <v/>
      </c>
      <c r="L11" s="8">
        <f>E11/$E$15</f>
        <v/>
      </c>
      <c r="M11" s="8">
        <f>I11/G11</f>
        <v/>
      </c>
      <c r="N11" s="9">
        <f>I11-K11</f>
        <v/>
      </c>
      <c r="O11" s="10">
        <f>(K11-K10)*(I11+I10)/2</f>
        <v/>
      </c>
      <c r="P11" s="10">
        <f>(G11-G10)*(I11+I10)/2</f>
        <v/>
      </c>
      <c r="Q11" s="4">
        <f>IF(E11&gt;E10,1,0)</f>
        <v/>
      </c>
      <c r="S11" t="inlineStr">
        <is>
          <t>Gini = 2·AUC − 1</t>
        </is>
      </c>
      <c r="T11" s="14">
        <f>2*T10-1</f>
        <v/>
      </c>
    </row>
    <row r="12">
      <c r="A12" s="4" t="n">
        <v>8</v>
      </c>
      <c r="B12" s="5" t="n">
        <v>200</v>
      </c>
      <c r="C12" s="5" t="n">
        <v>3</v>
      </c>
      <c r="D12" s="6">
        <f>B12-C12</f>
        <v/>
      </c>
      <c r="E12" s="7">
        <f>IF(B12&gt;0,C12/B12,0)</f>
        <v/>
      </c>
      <c r="F12" s="7">
        <f>B12/$B$15</f>
        <v/>
      </c>
      <c r="G12" s="7">
        <f>SUM($B$5:B12)/$B$15</f>
        <v/>
      </c>
      <c r="H12" s="6">
        <f>SUM($C$5:C12)</f>
        <v/>
      </c>
      <c r="I12" s="7">
        <f>H12/$C$15</f>
        <v/>
      </c>
      <c r="J12" s="6">
        <f>SUM($D$5:D12)</f>
        <v/>
      </c>
      <c r="K12" s="7">
        <f>J12/$D$15</f>
        <v/>
      </c>
      <c r="L12" s="8">
        <f>E12/$E$15</f>
        <v/>
      </c>
      <c r="M12" s="8">
        <f>I12/G12</f>
        <v/>
      </c>
      <c r="N12" s="9">
        <f>I12-K12</f>
        <v/>
      </c>
      <c r="O12" s="10">
        <f>(K12-K11)*(I12+I11)/2</f>
        <v/>
      </c>
      <c r="P12" s="10">
        <f>(G12-G11)*(I12+I11)/2</f>
        <v/>
      </c>
      <c r="Q12" s="4">
        <f>IF(E12&gt;E11,1,0)</f>
        <v/>
      </c>
      <c r="S12" t="inlineStr">
        <is>
          <t>AR de la CAP = (área CAP − ½)/((1 − π)/2)</t>
        </is>
      </c>
      <c r="T12" s="14">
        <f>(P15-0.5)/((1-T9)/2)</f>
        <v/>
      </c>
    </row>
    <row r="13">
      <c r="A13" s="4" t="n">
        <v>9</v>
      </c>
      <c r="B13" s="5" t="n">
        <v>200</v>
      </c>
      <c r="C13" s="5" t="n">
        <v>0</v>
      </c>
      <c r="D13" s="6">
        <f>B13-C13</f>
        <v/>
      </c>
      <c r="E13" s="7">
        <f>IF(B13&gt;0,C13/B13,0)</f>
        <v/>
      </c>
      <c r="F13" s="7">
        <f>B13/$B$15</f>
        <v/>
      </c>
      <c r="G13" s="7">
        <f>SUM($B$5:B13)/$B$15</f>
        <v/>
      </c>
      <c r="H13" s="6">
        <f>SUM($C$5:C13)</f>
        <v/>
      </c>
      <c r="I13" s="7">
        <f>H13/$C$15</f>
        <v/>
      </c>
      <c r="J13" s="6">
        <f>SUM($D$5:D13)</f>
        <v/>
      </c>
      <c r="K13" s="7">
        <f>J13/$D$15</f>
        <v/>
      </c>
      <c r="L13" s="8">
        <f>E13/$E$15</f>
        <v/>
      </c>
      <c r="M13" s="8">
        <f>I13/G13</f>
        <v/>
      </c>
      <c r="N13" s="9">
        <f>I13-K13</f>
        <v/>
      </c>
      <c r="O13" s="10">
        <f>(K13-K12)*(I13+I12)/2</f>
        <v/>
      </c>
      <c r="P13" s="10">
        <f>(G13-G12)*(I13+I12)/2</f>
        <v/>
      </c>
      <c r="Q13" s="4">
        <f>IF(E13&gt;E12,1,0)</f>
        <v/>
      </c>
      <c r="S13" t="inlineStr">
        <is>
          <t>control AR − Gini (debe ser 0)</t>
        </is>
      </c>
      <c r="T13" s="15">
        <f>T12-T11</f>
        <v/>
      </c>
    </row>
    <row r="14">
      <c r="A14" s="4" t="n">
        <v>10</v>
      </c>
      <c r="B14" s="5" t="n">
        <v>201</v>
      </c>
      <c r="C14" s="5" t="n">
        <v>0</v>
      </c>
      <c r="D14" s="6">
        <f>B14-C14</f>
        <v/>
      </c>
      <c r="E14" s="7">
        <f>IF(B14&gt;0,C14/B14,0)</f>
        <v/>
      </c>
      <c r="F14" s="7">
        <f>B14/$B$15</f>
        <v/>
      </c>
      <c r="G14" s="7">
        <f>SUM($B$5:B14)/$B$15</f>
        <v/>
      </c>
      <c r="H14" s="6">
        <f>SUM($C$5:C14)</f>
        <v/>
      </c>
      <c r="I14" s="7">
        <f>H14/$C$15</f>
        <v/>
      </c>
      <c r="J14" s="6">
        <f>SUM($D$5:D14)</f>
        <v/>
      </c>
      <c r="K14" s="7">
        <f>J14/$D$15</f>
        <v/>
      </c>
      <c r="L14" s="8">
        <f>E14/$E$15</f>
        <v/>
      </c>
      <c r="M14" s="8">
        <f>I14/G14</f>
        <v/>
      </c>
      <c r="N14" s="9">
        <f>I14-K14</f>
        <v/>
      </c>
      <c r="O14" s="10">
        <f>(K14-K13)*(I14+I13)/2</f>
        <v/>
      </c>
      <c r="P14" s="10">
        <f>(G14-G13)*(I14+I13)/2</f>
        <v/>
      </c>
      <c r="Q14" s="4">
        <f>IF(E14&gt;E13,1,0)</f>
        <v/>
      </c>
      <c r="S14" t="inlineStr">
        <is>
          <t>KS máximo por decil</t>
        </is>
      </c>
      <c r="T14" s="16">
        <f>MAX(N5:N14)</f>
        <v/>
      </c>
    </row>
    <row r="15">
      <c r="A15" s="17" t="inlineStr">
        <is>
          <t>Total</t>
        </is>
      </c>
      <c r="B15" s="6">
        <f>SUM(B5:B14)</f>
        <v/>
      </c>
      <c r="C15" s="6">
        <f>SUM(C5:C14)</f>
        <v/>
      </c>
      <c r="D15" s="6">
        <f>SUM(D5:D14)</f>
        <v/>
      </c>
      <c r="E15" s="7">
        <f>C15/B15</f>
        <v/>
      </c>
      <c r="F15" s="7" t="n"/>
      <c r="G15" s="7" t="n"/>
      <c r="H15" s="6" t="n"/>
      <c r="I15" s="7" t="n"/>
      <c r="J15" s="6" t="n"/>
      <c r="K15" s="7" t="n"/>
      <c r="L15" s="8" t="n"/>
      <c r="M15" s="8" t="n"/>
      <c r="N15" s="9" t="n"/>
      <c r="O15" s="10">
        <f>SUM(O5:O14)</f>
        <v/>
      </c>
      <c r="P15" s="10">
        <f>SUM(P5:P14)</f>
        <v/>
      </c>
      <c r="Q15" s="4">
        <f>SUM(Q5:Q14)</f>
        <v/>
      </c>
      <c r="S15" t="inlineStr">
        <is>
          <t>decil donde se alcanza el KS</t>
        </is>
      </c>
      <c r="T15" s="18">
        <f>INDEX(A5:A14,MATCH(T14,N5:N14,0))</f>
        <v/>
      </c>
    </row>
    <row r="16">
      <c r="S16" t="inlineStr">
        <is>
          <t>cota KS ≤ Gini ≤ KS(2 − KS) (ROC cóncava)</t>
        </is>
      </c>
      <c r="T16" s="19">
        <f>IF(AND(T14&lt;=T11,T11&lt;=T14*(2-T14)),"se cumple","NO se cumple")</f>
        <v/>
      </c>
    </row>
    <row r="17">
      <c r="A17" t="inlineStr">
        <is>
          <t>Lectura: captura_malos_acum = TPR y captura_buenos_acum = FPR de la ROC con 10 cortes; pob_acum es el eje x de la CAP. lift_acum = captura / % población.</t>
        </is>
      </c>
      <c r="S17" t="inlineStr">
        <is>
          <t>Hanley–McNeil: Q1 = A/(2 − A)</t>
        </is>
      </c>
      <c r="T17" s="14">
        <f>T10/(2-T10)</f>
        <v/>
      </c>
    </row>
    <row r="18">
      <c r="A18" t="inlineStr">
        <is>
          <t>Curso (OOT Banco Austral): Gini exacto 0,675 y KS exacto 0,545. La tabla agrupada da algo menos: es el costo de los empates dentro de cada decil.</t>
        </is>
      </c>
      <c r="S18" t="inlineStr">
        <is>
          <t>Hanley–McNeil: Q2 = 2A²/(1 + A)</t>
        </is>
      </c>
      <c r="T18" s="14">
        <f>2*T10^2/(1+T10)</f>
        <v/>
      </c>
    </row>
    <row r="19">
      <c r="S19" t="inlineStr">
        <is>
          <t>SE del AUC (Hanley–McNeil)</t>
        </is>
      </c>
      <c r="T19" s="14">
        <f>SQRT((T10*(1-T10)+(T7-1)*(T17-T10^2)+(T8-1)*(T18-T10^2))/(T7*T8))</f>
        <v/>
      </c>
    </row>
    <row r="20">
      <c r="S20" t="inlineStr">
        <is>
          <t>SE del Gini = 2·SE(AUC)</t>
        </is>
      </c>
      <c r="T20" s="14">
        <f>2*T19</f>
        <v/>
      </c>
    </row>
    <row r="21">
      <c r="S21" t="inlineStr">
        <is>
          <t>IC del Gini: inferior</t>
        </is>
      </c>
      <c r="T21" s="16">
        <f>T11-T5*T20</f>
        <v/>
      </c>
    </row>
    <row r="22">
      <c r="S22" t="inlineStr">
        <is>
          <t>IC del Gini: superior</t>
        </is>
      </c>
      <c r="T22" s="16">
        <f>T11+T5*T20</f>
        <v/>
      </c>
    </row>
    <row r="23">
      <c r="S23" t="inlineStr">
        <is>
          <t>inversiones de tasa (decil k+1 más malo que k)</t>
        </is>
      </c>
      <c r="T23" s="18">
        <f>Q15</f>
        <v/>
      </c>
    </row>
    <row r="24">
      <c r="S24" t="inlineStr">
        <is>
          <t>control: deciles con malos &gt; n</t>
        </is>
      </c>
      <c r="T24" s="18">
        <f>SUMPRODUCT((C5:C14&gt;B5:B14)*1)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1" t="inlineStr">
        <is>
          <t>Caída del Gini entre dos muestras independientes · precargada con DEV vs OOT de Banco Austral</t>
        </is>
      </c>
    </row>
    <row r="3">
      <c r="A3" s="20" t="inlineStr"/>
      <c r="B3" s="20" t="inlineStr">
        <is>
          <t>Muestra A (referencia)</t>
        </is>
      </c>
      <c r="C3" s="20" t="inlineStr">
        <is>
          <t>Muestra B (evaluada)</t>
        </is>
      </c>
    </row>
    <row r="4">
      <c r="A4" t="inlineStr">
        <is>
          <t>nombre</t>
        </is>
      </c>
      <c r="B4" s="21" t="inlineStr">
        <is>
          <t>DEV</t>
        </is>
      </c>
      <c r="C4" s="21" t="inlineStr">
        <is>
          <t>OOT</t>
        </is>
      </c>
    </row>
    <row r="5">
      <c r="A5" t="inlineStr">
        <is>
          <t>Gini</t>
        </is>
      </c>
      <c r="B5" s="21" t="n">
        <v>0.757</v>
      </c>
      <c r="C5" s="21" t="n">
        <v>0.675</v>
      </c>
    </row>
    <row r="6">
      <c r="A6" t="inlineStr">
        <is>
          <t>n</t>
        </is>
      </c>
      <c r="B6" s="21" t="n">
        <v>3322</v>
      </c>
      <c r="C6" s="21" t="n">
        <v>2004</v>
      </c>
    </row>
    <row r="7">
      <c r="A7" t="inlineStr">
        <is>
          <t>malos</t>
        </is>
      </c>
      <c r="B7" s="21" t="n">
        <v>165</v>
      </c>
      <c r="C7" s="21" t="n">
        <v>119</v>
      </c>
    </row>
    <row r="8">
      <c r="A8" t="inlineStr">
        <is>
          <t>buenos</t>
        </is>
      </c>
      <c r="B8" s="12">
        <f>B6-B7</f>
        <v/>
      </c>
      <c r="C8" s="12">
        <f>C6-C7</f>
        <v/>
      </c>
    </row>
    <row r="9">
      <c r="A9" t="inlineStr">
        <is>
          <t>AUC = (Gini + 1)/2</t>
        </is>
      </c>
      <c r="B9" s="14">
        <f>(B5+1)/2</f>
        <v/>
      </c>
      <c r="C9" s="14">
        <f>(C5+1)/2</f>
        <v/>
      </c>
    </row>
    <row r="10">
      <c r="A10" t="inlineStr">
        <is>
          <t>Q1</t>
        </is>
      </c>
      <c r="B10" s="14">
        <f>B9/(2-B9)</f>
        <v/>
      </c>
      <c r="C10" s="14">
        <f>C9/(2-C9)</f>
        <v/>
      </c>
    </row>
    <row r="11">
      <c r="A11" t="inlineStr">
        <is>
          <t>Q2</t>
        </is>
      </c>
      <c r="B11" s="14">
        <f>2*B9^2/(1+B9)</f>
        <v/>
      </c>
      <c r="C11" s="14">
        <f>2*C9^2/(1+C9)</f>
        <v/>
      </c>
    </row>
    <row r="12">
      <c r="A12" t="inlineStr">
        <is>
          <t>SE del AUC (Hanley–McNeil)</t>
        </is>
      </c>
      <c r="B12" s="14">
        <f>SQRT((B9*(1-B9)+(B7-1)*(B10-B9^2)+(B8-1)*(B11-B9^2))/(B7*B8))</f>
        <v/>
      </c>
      <c r="C12" s="14">
        <f>SQRT((C9*(1-C9)+(C7-1)*(C10-C9^2)+(C8-1)*(C11-C9^2))/(C7*C8))</f>
        <v/>
      </c>
    </row>
    <row r="13">
      <c r="A13" t="inlineStr">
        <is>
          <t>SE del Gini</t>
        </is>
      </c>
      <c r="B13" s="14">
        <f>2*B12</f>
        <v/>
      </c>
      <c r="C13" s="14">
        <f>2*C12</f>
        <v/>
      </c>
    </row>
    <row r="15">
      <c r="A15" s="2" t="inlineStr">
        <is>
          <t>Parámetros de la regla</t>
        </is>
      </c>
    </row>
    <row r="16">
      <c r="A16" t="inlineStr">
        <is>
          <t>umbral absoluto amarillo</t>
        </is>
      </c>
      <c r="B16" s="11" t="n">
        <v>0.1</v>
      </c>
    </row>
    <row r="17">
      <c r="A17" t="inlineStr">
        <is>
          <t>umbral absoluto rojo</t>
        </is>
      </c>
      <c r="B17" s="11" t="n">
        <v>0.15</v>
      </c>
    </row>
    <row r="18">
      <c r="A18" t="inlineStr">
        <is>
          <t>umbral relativo amarillo</t>
        </is>
      </c>
      <c r="B18" s="11" t="n">
        <v>0.2</v>
      </c>
    </row>
    <row r="19">
      <c r="A19" t="inlineStr">
        <is>
          <t>umbral relativo rojo</t>
        </is>
      </c>
      <c r="B19" s="11" t="n">
        <v>0.3</v>
      </c>
    </row>
    <row r="20">
      <c r="A20" t="inlineStr">
        <is>
          <t>nivel del test unilateral α</t>
        </is>
      </c>
      <c r="B20" s="11" t="n">
        <v>0.05</v>
      </c>
    </row>
    <row r="22">
      <c r="A22" s="2" t="inlineStr">
        <is>
          <t>Resultados</t>
        </is>
      </c>
    </row>
    <row r="23">
      <c r="A23" t="inlineStr">
        <is>
          <t>caída absoluta (A − B)</t>
        </is>
      </c>
      <c r="B23" s="16">
        <f>B5-C5</f>
        <v/>
      </c>
    </row>
    <row r="24">
      <c r="A24" t="inlineStr">
        <is>
          <t>caída relativa 1 − B/A</t>
        </is>
      </c>
      <c r="B24" s="22">
        <f>1-C5/B5</f>
        <v/>
      </c>
    </row>
    <row r="25">
      <c r="A25" t="inlineStr">
        <is>
          <t>semáforo regla absoluta</t>
        </is>
      </c>
      <c r="B25" s="19">
        <f>IF(B23&gt;B17,"ROJO",IF(B23&gt;B16,"AMARILLO","VERDE"))</f>
        <v/>
      </c>
    </row>
    <row r="26">
      <c r="A26" t="inlineStr">
        <is>
          <t>semáforo regla relativa (curso)</t>
        </is>
      </c>
      <c r="B26" s="19">
        <f>IF(B24&gt;B19,"ROJO",IF(B24&gt;B18,"AMARILLO","VERDE"))</f>
        <v/>
      </c>
    </row>
    <row r="27">
      <c r="A27" t="inlineStr">
        <is>
          <t>SE de la caída (independientes)</t>
        </is>
      </c>
      <c r="B27" s="14">
        <f>SQRT(B13^2+C13^2)</f>
        <v/>
      </c>
    </row>
    <row r="28">
      <c r="A28" t="inlineStr">
        <is>
          <t>z = caída / SE</t>
        </is>
      </c>
      <c r="B28" s="23">
        <f>B23/B27</f>
        <v/>
      </c>
    </row>
    <row r="29">
      <c r="A29" t="inlineStr">
        <is>
          <t>p unilateral (H0: sin caída)</t>
        </is>
      </c>
      <c r="B29" s="14">
        <f>1-NORMSDIST(B28)</f>
        <v/>
      </c>
    </row>
    <row r="30">
      <c r="A30" t="inlineStr">
        <is>
          <t>IC 95% de la caída: inferior</t>
        </is>
      </c>
      <c r="B30" s="16">
        <f>B23-1.96*B27</f>
        <v/>
      </c>
    </row>
    <row r="31">
      <c r="A31" t="inlineStr">
        <is>
          <t>IC 95% de la caída: superior</t>
        </is>
      </c>
      <c r="B31" s="16">
        <f>B23+1.96*B27</f>
        <v/>
      </c>
    </row>
    <row r="32">
      <c r="A32" t="inlineStr">
        <is>
          <t>caída mínima detectable al nivel α (sin deterioro)</t>
        </is>
      </c>
      <c r="B32" s="16">
        <f>NORMSINV(1-B20)*B27</f>
        <v/>
      </c>
    </row>
    <row r="33">
      <c r="A33" t="inlineStr">
        <is>
          <t>veredicto estadístico</t>
        </is>
      </c>
      <c r="B33" s="19">
        <f>IF(B29&lt;B20,"caída significativa","no concluyente: el IC contiene el 0 o casi")</f>
        <v/>
      </c>
    </row>
    <row r="35">
      <c r="A35" t="inlineStr">
        <is>
          <t>Curso (bootstrap B = 1.000): caída DEV − OOT +0,082, IC [−0,006; +0,167]. Hanley–McNeil da un IC algo más ancho (supuesto exponencial conservador).</t>
        </is>
      </c>
    </row>
    <row r="36">
      <c r="A36" t="inlineStr">
        <is>
          <t>Ojo: la caída desde DEV mezcla optimismo de selección con deterioro. Para hablar de tiempo, compara HO vs OOT (cambia A por HO: Gini 0,698, n 1.397, malos 78).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44" customWidth="1" min="6" max="6"/>
  </cols>
  <sheetData>
    <row r="1">
      <c r="A1" s="1" t="inlineStr">
        <is>
          <t>¿Cuánto cae el Gini por puro azar? Dos muestras independientes del mismo tamaño, sin deterioro</t>
        </is>
      </c>
    </row>
    <row r="3">
      <c r="A3" t="inlineStr">
        <is>
          <t>Gini verdadero del modelo</t>
        </is>
      </c>
      <c r="B3" s="21" t="n">
        <v>0.7</v>
      </c>
    </row>
    <row r="4">
      <c r="A4" t="inlineStr">
        <is>
          <t>tasa de malos π</t>
        </is>
      </c>
      <c r="B4" s="24" t="n">
        <v>0.06</v>
      </c>
    </row>
    <row r="5">
      <c r="A5" t="inlineStr">
        <is>
          <t>nivel unilateral α</t>
        </is>
      </c>
      <c r="B5" s="21" t="n">
        <v>0.05</v>
      </c>
    </row>
    <row r="6">
      <c r="A6" t="inlineStr">
        <is>
          <t>AUC</t>
        </is>
      </c>
      <c r="B6">
        <f>(B3+1)/2</f>
        <v/>
      </c>
    </row>
    <row r="7">
      <c r="A7" t="inlineStr">
        <is>
          <t>Q1</t>
        </is>
      </c>
      <c r="B7">
        <f>B6/(2-B6)</f>
        <v/>
      </c>
    </row>
    <row r="8">
      <c r="A8" t="inlineStr">
        <is>
          <t>Q2</t>
        </is>
      </c>
      <c r="B8">
        <f>2*B6^2/(1+B6)</f>
        <v/>
      </c>
    </row>
    <row r="10">
      <c r="A10" s="20" t="inlineStr">
        <is>
          <t>malos por muestra</t>
        </is>
      </c>
      <c r="B10" s="20" t="inlineStr">
        <is>
          <t>buenos</t>
        </is>
      </c>
      <c r="C10" s="20" t="inlineStr">
        <is>
          <t>SE Gini (HM)</t>
        </is>
      </c>
      <c r="D10" s="20" t="inlineStr">
        <is>
          <t>SE de la caída</t>
        </is>
      </c>
      <c r="E10" s="20" t="inlineStr">
        <is>
          <t>umbral de caída (1 − α)</t>
        </is>
      </c>
      <c r="F10" s="20" t="inlineStr">
        <is>
          <t>¿0,10 es laxo o estricto?</t>
        </is>
      </c>
    </row>
    <row r="11">
      <c r="A11" s="21" t="n">
        <v>30</v>
      </c>
      <c r="B11" s="12">
        <f>A11*(1-$B$4)/$B$4</f>
        <v/>
      </c>
      <c r="C11" s="14">
        <f>2*SQRT(($B$6*(1-$B$6)+(A11-1)*($B$7-$B$6^2)+(B11-1)*($B$8-$B$6^2))/(A11*B11))</f>
        <v/>
      </c>
      <c r="D11" s="14">
        <f>SQRT(2)*C11</f>
        <v/>
      </c>
      <c r="E11" s="16">
        <f>NORMSINV(1-$B$5)*D11</f>
        <v/>
      </c>
      <c r="F11">
        <f>IF(E11&gt;0.1,"0,10 dispara por azar","0,10 es laxo: caídas reales menores pasan")</f>
        <v/>
      </c>
    </row>
    <row r="12">
      <c r="A12" s="21" t="n">
        <v>60</v>
      </c>
      <c r="B12" s="12">
        <f>A12*(1-$B$4)/$B$4</f>
        <v/>
      </c>
      <c r="C12" s="14">
        <f>2*SQRT(($B$6*(1-$B$6)+(A12-1)*($B$7-$B$6^2)+(B12-1)*($B$8-$B$6^2))/(A12*B12))</f>
        <v/>
      </c>
      <c r="D12" s="14">
        <f>SQRT(2)*C12</f>
        <v/>
      </c>
      <c r="E12" s="16">
        <f>NORMSINV(1-$B$5)*D12</f>
        <v/>
      </c>
      <c r="F12">
        <f>IF(E12&gt;0.1,"0,10 dispara por azar","0,10 es laxo: caídas reales menores pasan")</f>
        <v/>
      </c>
    </row>
    <row r="13">
      <c r="A13" s="21" t="n">
        <v>120</v>
      </c>
      <c r="B13" s="12">
        <f>A13*(1-$B$4)/$B$4</f>
        <v/>
      </c>
      <c r="C13" s="14">
        <f>2*SQRT(($B$6*(1-$B$6)+(A13-1)*($B$7-$B$6^2)+(B13-1)*($B$8-$B$6^2))/(A13*B13))</f>
        <v/>
      </c>
      <c r="D13" s="14">
        <f>SQRT(2)*C13</f>
        <v/>
      </c>
      <c r="E13" s="16">
        <f>NORMSINV(1-$B$5)*D13</f>
        <v/>
      </c>
      <c r="F13">
        <f>IF(E13&gt;0.1,"0,10 dispara por azar","0,10 es laxo: caídas reales menores pasan")</f>
        <v/>
      </c>
    </row>
    <row r="14">
      <c r="A14" s="21" t="n">
        <v>250</v>
      </c>
      <c r="B14" s="12">
        <f>A14*(1-$B$4)/$B$4</f>
        <v/>
      </c>
      <c r="C14" s="14">
        <f>2*SQRT(($B$6*(1-$B$6)+(A14-1)*($B$7-$B$6^2)+(B14-1)*($B$8-$B$6^2))/(A14*B14))</f>
        <v/>
      </c>
      <c r="D14" s="14">
        <f>SQRT(2)*C14</f>
        <v/>
      </c>
      <c r="E14" s="16">
        <f>NORMSINV(1-$B$5)*D14</f>
        <v/>
      </c>
      <c r="F14">
        <f>IF(E14&gt;0.1,"0,10 dispara por azar","0,10 es laxo: caídas reales menores pasan")</f>
        <v/>
      </c>
    </row>
    <row r="15">
      <c r="A15" s="21" t="n">
        <v>500</v>
      </c>
      <c r="B15" s="12">
        <f>A15*(1-$B$4)/$B$4</f>
        <v/>
      </c>
      <c r="C15" s="14">
        <f>2*SQRT(($B$6*(1-$B$6)+(A15-1)*($B$7-$B$6^2)+(B15-1)*($B$8-$B$6^2))/(A15*B15))</f>
        <v/>
      </c>
      <c r="D15" s="14">
        <f>SQRT(2)*C15</f>
        <v/>
      </c>
      <c r="E15" s="16">
        <f>NORMSINV(1-$B$5)*D15</f>
        <v/>
      </c>
      <c r="F15">
        <f>IF(E15&gt;0.1,"0,10 dispara por azar","0,10 es laxo: caídas reales menores pasan")</f>
        <v/>
      </c>
    </row>
    <row r="16">
      <c r="A16" s="21" t="n">
        <v>1000</v>
      </c>
      <c r="B16" s="12">
        <f>A16*(1-$B$4)/$B$4</f>
        <v/>
      </c>
      <c r="C16" s="14">
        <f>2*SQRT(($B$6*(1-$B$6)+(A16-1)*($B$7-$B$6^2)+(B16-1)*($B$8-$B$6^2))/(A16*B16))</f>
        <v/>
      </c>
      <c r="D16" s="14">
        <f>SQRT(2)*C16</f>
        <v/>
      </c>
      <c r="E16" s="16">
        <f>NORMSINV(1-$B$5)*D16</f>
        <v/>
      </c>
      <c r="F16">
        <f>IF(E16&gt;0.1,"0,10 dispara por azar","0,10 es laxo: caídas reales menores pasan")</f>
        <v/>
      </c>
    </row>
    <row r="17">
      <c r="A17" s="21" t="n">
        <v>2000</v>
      </c>
      <c r="B17" s="12">
        <f>A17*(1-$B$4)/$B$4</f>
        <v/>
      </c>
      <c r="C17" s="14">
        <f>2*SQRT(($B$6*(1-$B$6)+(A17-1)*($B$7-$B$6^2)+(B17-1)*($B$8-$B$6^2))/(A17*B17))</f>
        <v/>
      </c>
      <c r="D17" s="14">
        <f>SQRT(2)*C17</f>
        <v/>
      </c>
      <c r="E17" s="16">
        <f>NORMSINV(1-$B$5)*D17</f>
        <v/>
      </c>
      <c r="F17">
        <f>IF(E17&gt;0.1,"0,10 dispara por azar","0,10 es laxo: caídas reales menores pasan")</f>
        <v/>
      </c>
    </row>
    <row r="18">
      <c r="A18" s="21" t="n">
        <v>5000</v>
      </c>
      <c r="B18" s="12">
        <f>A18*(1-$B$4)/$B$4</f>
        <v/>
      </c>
      <c r="C18" s="14">
        <f>2*SQRT(($B$6*(1-$B$6)+(A18-1)*($B$7-$B$6^2)+(B18-1)*($B$8-$B$6^2))/(A18*B18))</f>
        <v/>
      </c>
      <c r="D18" s="14">
        <f>SQRT(2)*C18</f>
        <v/>
      </c>
      <c r="E18" s="16">
        <f>NORMSINV(1-$B$5)*D18</f>
        <v/>
      </c>
      <c r="F18">
        <f>IF(E18&gt;0.1,"0,10 dispara por azar","0,10 es laxo: caídas reales menores pasan")</f>
        <v/>
      </c>
    </row>
    <row r="20">
      <c r="A20" t="inlineStr">
        <is>
          <t>Lectura: con pocos malos el umbral de azar supera 0,10 (la regla da falsas alarmas); con muchos, caídas reales bajo 0,10 quedan invisibles. Hanley–McNeil tiende a sobreestimar el SE (10–50% en los ejemplos del módulo): umbrales conservadores.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2026-09-28T06:09:45Z</dcterms:created>
  <dcterms:modified xmlns:dcterms="http://purl.org/dc/terms/" xmlns:xsi="http://www.w3.org/2001/XMLSchema-instance" xsi:type="dcterms:W3CDTF">2026-09-28T06:09:45Z</dcterms:modified>
</cp:coreProperties>
</file>